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3127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Aaron\Google Drive\Work\TDG Core\Source\D365.INSPECTION.ETL.TDG\TDG.CORE.ETL.RESOURCES\CLIENT_FILES\"/>
    </mc:Choice>
  </mc:AlternateContent>
  <xr:revisionPtr revIDLastSave="0" documentId="13_ncr:1_{69A3674A-DBF2-49EB-B313-F4EA9FBB7AD9}" xr6:coauthVersionLast="45" xr6:coauthVersionMax="45" xr10:uidLastSave="{00000000-0000-0000-0000-000000000000}"/>
  <bookViews>
    <workbookView xWindow="-120" yWindow="-120" windowWidth="38640" windowHeight="21240" xr2:uid="{00000000-000D-0000-FFFF-FFFF00000000}"/>
  </bookViews>
  <sheets>
    <sheet name="Enforcement-Safety Tools" sheetId="3" r:id="rId1"/>
    <sheet name="Questions" sheetId="1" r:id="rId2"/>
    <sheet name="References" sheetId="2" r:id="rId3"/>
  </sheets>
  <definedNames>
    <definedName name="_xlnm._FilterDatabase" localSheetId="0" hidden="1">'Enforcement-Safety Tools'!$A$2:$U$161</definedName>
    <definedName name="_xlnm._FilterDatabase" localSheetId="1" hidden="1">Questions!$A$2:$R$149</definedName>
    <definedName name="_MailEndCompose" localSheetId="1">Questions!$Q$150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B154" i="3" l="1"/>
  <c r="B120" i="3" l="1"/>
  <c r="B121" i="3"/>
  <c r="B122" i="3"/>
  <c r="B123" i="3"/>
  <c r="B124" i="3"/>
  <c r="B125" i="3"/>
  <c r="B126" i="3"/>
  <c r="B127" i="3"/>
  <c r="B128" i="3"/>
  <c r="B129" i="3"/>
  <c r="B130" i="3"/>
  <c r="B131" i="3"/>
  <c r="B132" i="3"/>
  <c r="B133" i="3"/>
  <c r="B134" i="3"/>
  <c r="B135" i="3"/>
  <c r="B136" i="3"/>
  <c r="B137" i="3"/>
  <c r="B138" i="3"/>
  <c r="B139" i="3"/>
  <c r="B140" i="3"/>
  <c r="B141" i="3"/>
  <c r="B142" i="3"/>
  <c r="B143" i="3"/>
  <c r="B144" i="3"/>
  <c r="B145" i="3"/>
  <c r="B146" i="3"/>
  <c r="B147" i="3"/>
  <c r="B151" i="3"/>
  <c r="B152" i="3"/>
  <c r="B153" i="3"/>
  <c r="B156" i="3"/>
  <c r="B158" i="3"/>
  <c r="B159" i="3"/>
  <c r="B160" i="3"/>
  <c r="B161" i="3"/>
  <c r="B96" i="1" l="1"/>
  <c r="R102" i="1"/>
  <c r="R101" i="1"/>
  <c r="R100" i="1"/>
  <c r="R99" i="1"/>
  <c r="R98" i="1"/>
  <c r="R97" i="1"/>
  <c r="R96" i="1"/>
  <c r="B44" i="1" l="1"/>
  <c r="B102" i="1" l="1"/>
  <c r="B101" i="1"/>
  <c r="B100" i="1"/>
  <c r="B99" i="1"/>
  <c r="B98" i="1"/>
  <c r="B97" i="1"/>
  <c r="B95" i="1"/>
  <c r="B94" i="1"/>
  <c r="B93" i="1"/>
  <c r="B92" i="1"/>
  <c r="B91" i="1"/>
  <c r="B90" i="1"/>
  <c r="B89" i="1"/>
  <c r="B88" i="1"/>
  <c r="B87" i="1"/>
  <c r="B86" i="1"/>
  <c r="B85" i="1"/>
  <c r="B84" i="1"/>
  <c r="B83" i="1"/>
  <c r="B82" i="1"/>
  <c r="B81" i="1"/>
  <c r="B80" i="1"/>
  <c r="B79" i="1"/>
  <c r="B78" i="1"/>
  <c r="B77" i="1"/>
  <c r="B76" i="1"/>
  <c r="B75" i="1"/>
  <c r="B74" i="1"/>
  <c r="B73" i="1"/>
  <c r="B72" i="1"/>
  <c r="B71" i="1"/>
  <c r="B70" i="1"/>
  <c r="B69" i="1"/>
  <c r="B68" i="1"/>
  <c r="B67" i="1"/>
  <c r="B66" i="1"/>
  <c r="B65" i="1"/>
  <c r="B64" i="1"/>
  <c r="B63" i="1"/>
  <c r="B62" i="1"/>
  <c r="B61" i="1"/>
  <c r="B60" i="1"/>
  <c r="B59" i="1"/>
  <c r="B58" i="1"/>
  <c r="B57" i="1"/>
  <c r="B56" i="1"/>
  <c r="B55" i="1"/>
  <c r="B54" i="1"/>
  <c r="B53" i="1"/>
  <c r="B52" i="1"/>
  <c r="B51" i="1"/>
  <c r="B50" i="1"/>
  <c r="B49" i="1"/>
  <c r="B48" i="1"/>
  <c r="B47" i="1"/>
  <c r="B46" i="1"/>
  <c r="B45" i="1"/>
  <c r="B43" i="1"/>
  <c r="B42" i="1"/>
  <c r="B41" i="1"/>
  <c r="B40" i="1"/>
  <c r="B39" i="1"/>
  <c r="B38" i="1"/>
  <c r="B37" i="1"/>
  <c r="B36" i="1"/>
  <c r="B35" i="1"/>
  <c r="B34" i="1"/>
  <c r="B33" i="1"/>
  <c r="B32" i="1"/>
  <c r="B31" i="1"/>
  <c r="B30" i="1"/>
  <c r="B29" i="1"/>
  <c r="B28" i="1"/>
  <c r="B27" i="1"/>
  <c r="B26" i="1"/>
  <c r="B24" i="1"/>
  <c r="B4" i="3" l="1"/>
  <c r="R4" i="1" l="1"/>
  <c r="B119" i="3"/>
  <c r="B3" i="3" l="1"/>
  <c r="B29" i="3" l="1"/>
  <c r="B30" i="3"/>
  <c r="B31" i="3"/>
  <c r="B32" i="3"/>
  <c r="B33" i="3"/>
  <c r="B34" i="3"/>
  <c r="B35" i="3"/>
  <c r="B36" i="3"/>
  <c r="B37" i="3"/>
  <c r="B38" i="3"/>
  <c r="B39" i="3"/>
  <c r="B40" i="3"/>
  <c r="B41" i="3"/>
  <c r="B42" i="3"/>
  <c r="B43" i="3"/>
  <c r="B44" i="3"/>
  <c r="B45" i="3"/>
  <c r="B46" i="3"/>
  <c r="B47" i="3"/>
  <c r="B48" i="3"/>
  <c r="B49" i="3"/>
  <c r="B50" i="3"/>
  <c r="B51" i="3"/>
  <c r="B52" i="3"/>
  <c r="B53" i="3"/>
  <c r="B54" i="3"/>
  <c r="B55" i="3"/>
  <c r="B56" i="3"/>
  <c r="B57" i="3"/>
  <c r="B58" i="3"/>
  <c r="B59" i="3"/>
  <c r="B60" i="3"/>
  <c r="B61" i="3"/>
  <c r="B62" i="3"/>
  <c r="B63" i="3"/>
  <c r="B64" i="3"/>
  <c r="B65" i="3"/>
  <c r="B66" i="3"/>
  <c r="B67" i="3"/>
  <c r="B68" i="3"/>
  <c r="B69" i="3"/>
  <c r="B70" i="3"/>
  <c r="B71" i="3"/>
  <c r="B72" i="3"/>
  <c r="B73" i="3"/>
  <c r="B74" i="3"/>
  <c r="B75" i="3"/>
  <c r="B76" i="3"/>
  <c r="B77" i="3"/>
  <c r="B78" i="3"/>
  <c r="B79" i="3"/>
  <c r="B80" i="3"/>
  <c r="B81" i="3"/>
  <c r="B82" i="3"/>
  <c r="B83" i="3"/>
  <c r="B84" i="3"/>
  <c r="B85" i="3"/>
  <c r="B86" i="3"/>
  <c r="B87" i="3"/>
  <c r="B88" i="3"/>
  <c r="B89" i="3"/>
  <c r="B90" i="3"/>
  <c r="B91" i="3"/>
  <c r="B92" i="3"/>
  <c r="B93" i="3"/>
  <c r="B94" i="3"/>
  <c r="B95" i="3"/>
  <c r="B96" i="3"/>
  <c r="B97" i="3"/>
  <c r="B98" i="3"/>
  <c r="B99" i="3"/>
  <c r="B100" i="3"/>
  <c r="B101" i="3"/>
  <c r="B102" i="3"/>
  <c r="B103" i="3"/>
  <c r="B104" i="3"/>
  <c r="B105" i="3"/>
  <c r="B106" i="3"/>
  <c r="B107" i="3"/>
  <c r="B108" i="3"/>
  <c r="B109" i="3"/>
  <c r="B110" i="3"/>
  <c r="B111" i="3"/>
  <c r="B112" i="3"/>
  <c r="B113" i="3"/>
  <c r="B114" i="3"/>
  <c r="B115" i="3"/>
  <c r="B116" i="3"/>
  <c r="B117" i="3"/>
  <c r="B118" i="3"/>
  <c r="B5" i="3"/>
  <c r="B6" i="3"/>
  <c r="B7" i="3"/>
  <c r="B8" i="3"/>
  <c r="B9" i="3"/>
  <c r="B10" i="3"/>
  <c r="B11" i="3"/>
  <c r="B12" i="3"/>
  <c r="B13" i="3"/>
  <c r="B14" i="3"/>
  <c r="B15" i="3"/>
  <c r="B16" i="3"/>
  <c r="B17" i="3"/>
  <c r="B18" i="3"/>
  <c r="B19" i="3"/>
  <c r="B20" i="3"/>
  <c r="B21" i="3"/>
  <c r="B22" i="3"/>
  <c r="B23" i="3"/>
  <c r="B24" i="3"/>
  <c r="B25" i="3"/>
  <c r="B26" i="3"/>
  <c r="B27" i="3"/>
  <c r="B28" i="3"/>
  <c r="R3" i="1" l="1"/>
  <c r="R5" i="1"/>
  <c r="R6" i="1"/>
  <c r="R7" i="1"/>
  <c r="R8" i="1"/>
  <c r="R9" i="1"/>
  <c r="R10" i="1"/>
  <c r="R11" i="1"/>
  <c r="B5" i="1" l="1"/>
  <c r="B6" i="1"/>
  <c r="B7" i="1"/>
  <c r="B8" i="1"/>
  <c r="B9" i="1"/>
  <c r="B10" i="1"/>
  <c r="B11" i="1"/>
  <c r="B12" i="1"/>
  <c r="B13" i="1"/>
  <c r="B14" i="1"/>
  <c r="B22" i="1"/>
  <c r="B25" i="1"/>
  <c r="B4" i="1"/>
  <c r="B3" i="1"/>
  <c r="R12" i="1" l="1"/>
  <c r="R13" i="1"/>
  <c r="R14" i="1"/>
  <c r="R15" i="1"/>
  <c r="R16" i="1"/>
  <c r="R17" i="1"/>
  <c r="R18" i="1"/>
  <c r="R19" i="1"/>
  <c r="R20" i="1"/>
  <c r="R21" i="1"/>
  <c r="R22" i="1"/>
  <c r="R23" i="1"/>
  <c r="R24" i="1"/>
  <c r="R25" i="1"/>
  <c r="R26" i="1"/>
  <c r="R27" i="1"/>
  <c r="R28" i="1"/>
  <c r="R29" i="1"/>
  <c r="R30" i="1"/>
  <c r="R31" i="1"/>
  <c r="R32" i="1"/>
  <c r="R33" i="1"/>
  <c r="R34" i="1"/>
  <c r="R35" i="1"/>
  <c r="R36" i="1"/>
  <c r="R37" i="1"/>
  <c r="R38" i="1"/>
  <c r="R39" i="1"/>
  <c r="R40" i="1"/>
  <c r="R41" i="1"/>
  <c r="R42" i="1"/>
  <c r="R43" i="1"/>
  <c r="R44" i="1"/>
  <c r="R45" i="1"/>
  <c r="R46" i="1"/>
  <c r="R47" i="1"/>
  <c r="R48" i="1"/>
  <c r="R49" i="1"/>
  <c r="R50" i="1"/>
  <c r="R51" i="1"/>
  <c r="R52" i="1"/>
  <c r="R53" i="1"/>
  <c r="R54" i="1"/>
  <c r="R55" i="1"/>
  <c r="R56" i="1"/>
  <c r="R57" i="1"/>
  <c r="R58" i="1"/>
  <c r="R59" i="1"/>
  <c r="R60" i="1"/>
  <c r="R61" i="1"/>
  <c r="R62" i="1"/>
  <c r="R63" i="1"/>
  <c r="R64" i="1"/>
  <c r="R65" i="1"/>
  <c r="R66" i="1"/>
  <c r="R67" i="1"/>
  <c r="R68" i="1"/>
  <c r="R69" i="1"/>
  <c r="R70" i="1"/>
  <c r="R71" i="1"/>
  <c r="R72" i="1"/>
  <c r="R73" i="1"/>
  <c r="R74" i="1"/>
  <c r="R75" i="1"/>
  <c r="R76" i="1"/>
  <c r="R77" i="1"/>
  <c r="R78" i="1"/>
  <c r="R79" i="1"/>
  <c r="R80" i="1"/>
  <c r="R81" i="1"/>
  <c r="R82" i="1"/>
  <c r="R83" i="1"/>
  <c r="R84" i="1"/>
  <c r="R85" i="1"/>
  <c r="R86" i="1"/>
  <c r="R87" i="1"/>
  <c r="R88" i="1"/>
  <c r="R89" i="1"/>
  <c r="R90" i="1"/>
  <c r="R91" i="1"/>
  <c r="R92" i="1"/>
  <c r="R93" i="1"/>
  <c r="R94" i="1"/>
  <c r="R95" i="1"/>
</calcChain>
</file>

<file path=xl/sharedStrings.xml><?xml version="1.0" encoding="utf-8"?>
<sst xmlns="http://schemas.openxmlformats.org/spreadsheetml/2006/main" count="2669" uniqueCount="1213">
  <si>
    <t>Sequential Number
(YYYY-###)</t>
  </si>
  <si>
    <t>Reference(s) to Standards / IMDG Code / ICAO TI / 49 CFR</t>
  </si>
  <si>
    <t>Reference(s) to TDG Act</t>
  </si>
  <si>
    <t>Reference(s) to TDG Regulations</t>
  </si>
  <si>
    <t>ATL</t>
  </si>
  <si>
    <t>QC</t>
  </si>
  <si>
    <t>ON</t>
  </si>
  <si>
    <t>PNR</t>
  </si>
  <si>
    <t>PAC</t>
  </si>
  <si>
    <t>Provincial</t>
  </si>
  <si>
    <t>Region</t>
  </si>
  <si>
    <t>Topic</t>
  </si>
  <si>
    <t>Regions</t>
  </si>
  <si>
    <t>Status</t>
  </si>
  <si>
    <t>NCR</t>
  </si>
  <si>
    <t>NOMC</t>
  </si>
  <si>
    <t>REGC</t>
  </si>
  <si>
    <t>Secretariat</t>
  </si>
  <si>
    <t>Safety Awareness</t>
  </si>
  <si>
    <t>Engineering Services</t>
  </si>
  <si>
    <t>Forwarded to</t>
  </si>
  <si>
    <t>Inspectors</t>
  </si>
  <si>
    <t>Daniel</t>
  </si>
  <si>
    <t>Ian</t>
  </si>
  <si>
    <t>Benoit</t>
  </si>
  <si>
    <t>Stephanie</t>
  </si>
  <si>
    <t>Vincent</t>
  </si>
  <si>
    <t>Enforcement</t>
  </si>
  <si>
    <t>Quarter</t>
  </si>
  <si>
    <t>Province</t>
  </si>
  <si>
    <t>Type of Enforcement Action</t>
  </si>
  <si>
    <t>TDG Regulations Reference</t>
  </si>
  <si>
    <t>Standards / IMDG Code / ICAO TI / 49 CFR</t>
  </si>
  <si>
    <t>Enforcement Action Issued To</t>
  </si>
  <si>
    <t>IIS Activity Number</t>
  </si>
  <si>
    <t>202021-001</t>
  </si>
  <si>
    <t>2020-21</t>
  </si>
  <si>
    <t>Q2</t>
  </si>
  <si>
    <t>NDRNC</t>
  </si>
  <si>
    <t>202021-002</t>
  </si>
  <si>
    <t>202021-003</t>
  </si>
  <si>
    <t>202021-004</t>
  </si>
  <si>
    <t>202021-005</t>
  </si>
  <si>
    <t>202021-006</t>
  </si>
  <si>
    <t>202021-007</t>
  </si>
  <si>
    <t>202021-008</t>
  </si>
  <si>
    <t>202021-009</t>
  </si>
  <si>
    <t>202021-010</t>
  </si>
  <si>
    <t>202021-011</t>
  </si>
  <si>
    <t>202021-012</t>
  </si>
  <si>
    <t>202021-013</t>
  </si>
  <si>
    <t>202021-014</t>
  </si>
  <si>
    <t>202021-015</t>
  </si>
  <si>
    <t>202021-016</t>
  </si>
  <si>
    <t>202021-017</t>
  </si>
  <si>
    <t>202021-018</t>
  </si>
  <si>
    <t>202021-019</t>
  </si>
  <si>
    <t>202021-020</t>
  </si>
  <si>
    <t>202021-021</t>
  </si>
  <si>
    <t>202021-022</t>
  </si>
  <si>
    <t>202021-023</t>
  </si>
  <si>
    <t>202021-024</t>
  </si>
  <si>
    <t>202021-025</t>
  </si>
  <si>
    <t>202021-026</t>
  </si>
  <si>
    <t>202021-027</t>
  </si>
  <si>
    <t>202021-028</t>
  </si>
  <si>
    <t>202021-029</t>
  </si>
  <si>
    <t>202021-030</t>
  </si>
  <si>
    <t>202021-031</t>
  </si>
  <si>
    <t>202021-032</t>
  </si>
  <si>
    <t>202021-033</t>
  </si>
  <si>
    <t>202021-034</t>
  </si>
  <si>
    <t>202021-035</t>
  </si>
  <si>
    <t>202021-036</t>
  </si>
  <si>
    <t>202021-037</t>
  </si>
  <si>
    <t>202021-038</t>
  </si>
  <si>
    <t>202021-039</t>
  </si>
  <si>
    <t>202021-040</t>
  </si>
  <si>
    <t>202021-041</t>
  </si>
  <si>
    <t>202021-042</t>
  </si>
  <si>
    <t>202021-043</t>
  </si>
  <si>
    <t>202021-044</t>
  </si>
  <si>
    <t>202021-045</t>
  </si>
  <si>
    <t>202021-046</t>
  </si>
  <si>
    <t>202021-047</t>
  </si>
  <si>
    <t>202021-048</t>
  </si>
  <si>
    <t>202021-049</t>
  </si>
  <si>
    <t>202021-050</t>
  </si>
  <si>
    <t>202021-051</t>
  </si>
  <si>
    <t>202021-052</t>
  </si>
  <si>
    <t>202021-053</t>
  </si>
  <si>
    <t>202021-054</t>
  </si>
  <si>
    <t>202021-055</t>
  </si>
  <si>
    <t>202021-056</t>
  </si>
  <si>
    <t>202021-057</t>
  </si>
  <si>
    <t>202021-058</t>
  </si>
  <si>
    <t>202021-059</t>
  </si>
  <si>
    <t>202021-060</t>
  </si>
  <si>
    <t>202021-061</t>
  </si>
  <si>
    <t>202021-062</t>
  </si>
  <si>
    <t>202021-063</t>
  </si>
  <si>
    <t>202021-064</t>
  </si>
  <si>
    <t>202021-065</t>
  </si>
  <si>
    <t>202021-066</t>
  </si>
  <si>
    <t>202021-067</t>
  </si>
  <si>
    <t>202021-068</t>
  </si>
  <si>
    <t>202021-069</t>
  </si>
  <si>
    <t>202021-070</t>
  </si>
  <si>
    <t>202021-071</t>
  </si>
  <si>
    <t>202021-072</t>
  </si>
  <si>
    <t>202021-073</t>
  </si>
  <si>
    <t>202021-074</t>
  </si>
  <si>
    <t>202021-075</t>
  </si>
  <si>
    <t>202021-076</t>
  </si>
  <si>
    <t>202021-077</t>
  </si>
  <si>
    <t>202021-078</t>
  </si>
  <si>
    <t>202021-079</t>
  </si>
  <si>
    <t>202021-080</t>
  </si>
  <si>
    <t>202021-081</t>
  </si>
  <si>
    <t>202021-082</t>
  </si>
  <si>
    <t>202021-083</t>
  </si>
  <si>
    <t>202021-084</t>
  </si>
  <si>
    <t>202021-085</t>
  </si>
  <si>
    <t>202021-086</t>
  </si>
  <si>
    <t>202021-087</t>
  </si>
  <si>
    <t>202021-088</t>
  </si>
  <si>
    <t>202021-089</t>
  </si>
  <si>
    <t>202021-090</t>
  </si>
  <si>
    <t>202021-091</t>
  </si>
  <si>
    <t>202021-092</t>
  </si>
  <si>
    <t>202021-093</t>
  </si>
  <si>
    <t>202021-094</t>
  </si>
  <si>
    <t>202021-095</t>
  </si>
  <si>
    <t>202021-096</t>
  </si>
  <si>
    <t>202021-097</t>
  </si>
  <si>
    <t>202021-098</t>
  </si>
  <si>
    <t>202021-099</t>
  </si>
  <si>
    <t>202021-100</t>
  </si>
  <si>
    <t>202021-101</t>
  </si>
  <si>
    <t>202021-102</t>
  </si>
  <si>
    <t>202021-103</t>
  </si>
  <si>
    <t>202021-104</t>
  </si>
  <si>
    <t>202021-105</t>
  </si>
  <si>
    <t>202021-106</t>
  </si>
  <si>
    <t>202021-107</t>
  </si>
  <si>
    <t>202021-108</t>
  </si>
  <si>
    <t>202021-109</t>
  </si>
  <si>
    <t>202021-110</t>
  </si>
  <si>
    <t>202021-111</t>
  </si>
  <si>
    <t>202021-112</t>
  </si>
  <si>
    <t>202021-113</t>
  </si>
  <si>
    <t>202021-114</t>
  </si>
  <si>
    <t>202021-115</t>
  </si>
  <si>
    <t>202021-116</t>
  </si>
  <si>
    <t>202021-117</t>
  </si>
  <si>
    <t>202021-118</t>
  </si>
  <si>
    <t>202021-119</t>
  </si>
  <si>
    <t>Fiscale Year</t>
  </si>
  <si>
    <t>Enforcement Action</t>
  </si>
  <si>
    <t>Q1</t>
  </si>
  <si>
    <t>AB</t>
  </si>
  <si>
    <t>NOI</t>
  </si>
  <si>
    <t>2021-22</t>
  </si>
  <si>
    <t>BC</t>
  </si>
  <si>
    <t>DN</t>
  </si>
  <si>
    <t>2022-23</t>
  </si>
  <si>
    <t>Q3</t>
  </si>
  <si>
    <t>MB</t>
  </si>
  <si>
    <t>2023-24</t>
  </si>
  <si>
    <t>Q4</t>
  </si>
  <si>
    <t>NB</t>
  </si>
  <si>
    <t>NDNI</t>
  </si>
  <si>
    <t>2024-25</t>
  </si>
  <si>
    <t>NL</t>
  </si>
  <si>
    <t>T</t>
  </si>
  <si>
    <t>2025-26</t>
  </si>
  <si>
    <t>NS</t>
  </si>
  <si>
    <t>2026-27</t>
  </si>
  <si>
    <t>NT</t>
  </si>
  <si>
    <t>2027-28</t>
  </si>
  <si>
    <t>NWT</t>
  </si>
  <si>
    <t>PEI</t>
  </si>
  <si>
    <t>SK</t>
  </si>
  <si>
    <t>YK</t>
  </si>
  <si>
    <t>TDG Act Reference</t>
  </si>
  <si>
    <t>IIS ID Number</t>
  </si>
  <si>
    <t>Answered / Closed</t>
  </si>
  <si>
    <t>Forwarded To</t>
  </si>
  <si>
    <r>
      <t xml:space="preserve">Date Received
</t>
    </r>
    <r>
      <rPr>
        <i/>
        <sz val="10"/>
        <color theme="1"/>
        <rFont val="Arial"/>
        <family val="2"/>
      </rPr>
      <t>(YYYY-MM-DD)</t>
    </r>
  </si>
  <si>
    <t>Inspector Assigned</t>
  </si>
  <si>
    <r>
      <t xml:space="preserve">Date Sent To Enforcement Team
</t>
    </r>
    <r>
      <rPr>
        <i/>
        <sz val="10"/>
        <color theme="1"/>
        <rFont val="Arial"/>
        <family val="2"/>
      </rPr>
      <t>(YYYY-MM-DD)</t>
    </r>
  </si>
  <si>
    <r>
      <t xml:space="preserve">Date Sent To NOMC
</t>
    </r>
    <r>
      <rPr>
        <i/>
        <sz val="10"/>
        <color theme="1"/>
        <rFont val="Arial"/>
        <family val="2"/>
      </rPr>
      <t>(YYYY-MM-DD)</t>
    </r>
  </si>
  <si>
    <r>
      <t xml:space="preserve">Date Sent To REGC
</t>
    </r>
    <r>
      <rPr>
        <i/>
        <sz val="10"/>
        <color theme="1"/>
        <rFont val="Arial"/>
        <family val="2"/>
      </rPr>
      <t>(YYYY-MM-DD)</t>
    </r>
  </si>
  <si>
    <r>
      <t xml:space="preserve">Date Answered / Forwarded
</t>
    </r>
    <r>
      <rPr>
        <i/>
        <sz val="10"/>
        <color theme="1"/>
        <rFont val="Arial"/>
        <family val="2"/>
      </rPr>
      <t>(YYYY-MM-DD)</t>
    </r>
  </si>
  <si>
    <t>REQUEST FOR REGULATORY CLARIFICATION</t>
  </si>
  <si>
    <t>Example</t>
  </si>
  <si>
    <t>5(a)</t>
  </si>
  <si>
    <t>4(1)</t>
  </si>
  <si>
    <t>ABC Inc.</t>
  </si>
  <si>
    <t>Z1234-5678-0000</t>
  </si>
  <si>
    <t>SMITH, John</t>
  </si>
  <si>
    <t>INITIAL EMAIL -
CORRECTIONS REQUESTED - 
CORRECTIONS RECEIVED - 
EMAIL TO CHIEF ENFORCEMENT - 
SIGNED NDRNC FROM CHIEF - 
SIGNED NDRNC TO INSPECTOR -</t>
  </si>
  <si>
    <t>9(2)</t>
  </si>
  <si>
    <t>9(3)</t>
  </si>
  <si>
    <t>Posted to the Web</t>
  </si>
  <si>
    <t>Kate</t>
  </si>
  <si>
    <t>DISTILERIES MAKING HAND SANITIZER</t>
  </si>
  <si>
    <t>Information - COVID-19 - Transport de prélèvements</t>
  </si>
  <si>
    <t>Part 2</t>
  </si>
  <si>
    <t>NL distilleries - 16408638 
NB distilleries - 16408657 
NS distillerires - 16408998</t>
  </si>
  <si>
    <t>Classification</t>
  </si>
  <si>
    <t>Tracked</t>
  </si>
  <si>
    <t>Request for Form</t>
  </si>
  <si>
    <t>Request for Corrections</t>
  </si>
  <si>
    <t>Forwarded</t>
  </si>
  <si>
    <t>DEVEREAUX, Sara</t>
  </si>
  <si>
    <t>TALBOT, Venessa</t>
  </si>
  <si>
    <t>Forwarded to Classification - 16408611
Answer from Classification- 16414534</t>
  </si>
  <si>
    <t>OYELOWO, Ola</t>
  </si>
  <si>
    <t xml:space="preserve">Part 1/Part 3 charge volume during COVID-19 </t>
  </si>
  <si>
    <t>JAZBINSEK, Sandra</t>
  </si>
  <si>
    <t>Approval form Canada for transportation of DG- radioactive</t>
  </si>
  <si>
    <t>MCCANN, Dean</t>
  </si>
  <si>
    <t>Potential project for HQ to obtain all court transcripts from TDG prosecutions.</t>
  </si>
  <si>
    <t>TCHIR, Maxine</t>
  </si>
  <si>
    <t>Issuance of Temporary Certificate for Hand Sanitizer / Délivrance d'un certificat temporaire pour désinfectant pour les mains</t>
  </si>
  <si>
    <t>16427504 / 16427509</t>
  </si>
  <si>
    <t>NOWAK, Chris</t>
  </si>
  <si>
    <t>Highway Tanks-  Twin Valley Co-op, Elkhorn Part 1 Photos</t>
  </si>
  <si>
    <t>B620</t>
  </si>
  <si>
    <t>ICAO TI</t>
  </si>
  <si>
    <t>EC</t>
  </si>
  <si>
    <t>Hand Sanitizer temp certificate</t>
  </si>
  <si>
    <r>
      <t xml:space="preserve"># of Days Since Last Action
</t>
    </r>
    <r>
      <rPr>
        <b/>
        <sz val="10"/>
        <color rgb="FFFF0000"/>
        <rFont val="Arial"/>
        <family val="2"/>
      </rPr>
      <t>Auto-Populated</t>
    </r>
  </si>
  <si>
    <r>
      <t xml:space="preserve">Received From 
</t>
    </r>
    <r>
      <rPr>
        <i/>
        <sz val="10"/>
        <color theme="1"/>
        <rFont val="Arial"/>
        <family val="2"/>
      </rPr>
      <t>(LAST NAME, First Name)</t>
    </r>
  </si>
  <si>
    <r>
      <t xml:space="preserve">Response Time (Days)
</t>
    </r>
    <r>
      <rPr>
        <b/>
        <sz val="10"/>
        <color rgb="FFFF0000"/>
        <rFont val="Arial"/>
        <family val="2"/>
      </rPr>
      <t>Auto-Populated</t>
    </r>
  </si>
  <si>
    <t>16427524 / 16429498</t>
  </si>
  <si>
    <t>Pneumatic Pressure Test  - Aviation TC406 Tanks</t>
  </si>
  <si>
    <t>16432097 / 16432184</t>
  </si>
  <si>
    <t>5.14(1)</t>
  </si>
  <si>
    <t>GCT Canada Limited Partnership</t>
  </si>
  <si>
    <t>none RMS</t>
  </si>
  <si>
    <t>Josee Boudreau</t>
  </si>
  <si>
    <t>5(c )</t>
  </si>
  <si>
    <t>CAN/CGSB-43.146-2016</t>
  </si>
  <si>
    <t>Claude Faust</t>
  </si>
  <si>
    <t>5(d)</t>
  </si>
  <si>
    <t>5(b)</t>
  </si>
  <si>
    <t>11.1 b)</t>
  </si>
  <si>
    <t>Sani-Marc Inc.</t>
  </si>
  <si>
    <t>3.1(2),3.5(1)(c ),                      3.5 (1) c)(ii)(A)</t>
  </si>
  <si>
    <t>Z-4072-22-23-09042009105983</t>
  </si>
  <si>
    <t xml:space="preserve">IIMDG 5.4.1.4.1.2,5.4.1.4.2 et 7.5.2.2 </t>
  </si>
  <si>
    <t>INITIAL EMAIL - 16441170
CORRECTIONS REQUESTED - 16441182
CORRECTIONS RECEIVED - 16441188
SIGNED NDRNC FROM CHIEF - 16441132
SIGNED NDRNC TO INSPECTOR - 16441162
aditional information-16441998</t>
  </si>
  <si>
    <t xml:space="preserve"> </t>
  </si>
  <si>
    <t>CN not correctly displaying a name for the Consignor’s Certification.</t>
  </si>
  <si>
    <t>part 3</t>
  </si>
  <si>
    <t>initial email-16444880
Response to inquiry-16444928</t>
  </si>
  <si>
    <t>difference between leak tes facility ans retest facility.naming convention A 4067-23</t>
  </si>
  <si>
    <t>initial email- 16445012</t>
  </si>
  <si>
    <t>Sanitizer Temporary exemption</t>
  </si>
  <si>
    <t>initial email-16445056
answer-16445087</t>
  </si>
  <si>
    <t xml:space="preserve"> Nastiuk,Trudy</t>
  </si>
  <si>
    <t>Summers, John</t>
  </si>
  <si>
    <t xml:space="preserve"> Belair,Luc</t>
  </si>
  <si>
    <t xml:space="preserve"> Boudreau,Marc andre</t>
  </si>
  <si>
    <t>assouplissement sur la classification</t>
  </si>
  <si>
    <t>Completed</t>
  </si>
  <si>
    <t>answer-16445146</t>
  </si>
  <si>
    <t>Response to inquiry - 16427318
Response to inquiry - 16427373
Initial inquiry - 16427390 / 16455178
Initial inquiry - 16427397
Confirmation of correct CNSC contact - 16427413
Confirmation of correct CNSC contact - 16427433
Acknowledgement to response - 16427436</t>
  </si>
  <si>
    <t>exigence d'avoir un extincteur inclus aussi les gaz de classe subsidiaire 2.1</t>
  </si>
  <si>
    <t>B620 / B621</t>
  </si>
  <si>
    <t>Answer - 16459416</t>
  </si>
  <si>
    <t>Nowak, Chris</t>
  </si>
  <si>
    <t>Cluny, Nichols</t>
  </si>
  <si>
    <t>Information for Ontario region</t>
  </si>
  <si>
    <t>Part 4</t>
  </si>
  <si>
    <t>Link to SEAT</t>
  </si>
  <si>
    <t>Bonneau, Marc</t>
  </si>
  <si>
    <t>Poirier, Eve</t>
  </si>
  <si>
    <t>Clarification on the use of the SEAT</t>
  </si>
  <si>
    <t>Young, Andrew</t>
  </si>
  <si>
    <t>Canada Post undeclared DG's March 2020</t>
  </si>
  <si>
    <t>Answer - 16483376</t>
  </si>
  <si>
    <t>Answer - 16483438</t>
  </si>
  <si>
    <t>Email to SRA - 16483675</t>
  </si>
  <si>
    <t>MacKay, Brigitte</t>
  </si>
  <si>
    <t>Consignment inspection in other regions</t>
  </si>
  <si>
    <t>Answer - 16484114 / 16485626</t>
  </si>
  <si>
    <t>Wells, Chris</t>
  </si>
  <si>
    <t>Classification of infectious substances</t>
  </si>
  <si>
    <t>Part 2,Part 7 and SP 84</t>
  </si>
  <si>
    <t>Ack to inspector - 16486476
Forwarded - 16486550 / 16487882</t>
  </si>
  <si>
    <t>B-620 / Pressure relief settingd</t>
  </si>
  <si>
    <t>B-620</t>
  </si>
  <si>
    <t>Answer from C.Nowak to K.Sieloff - 16494785</t>
  </si>
  <si>
    <t>Transporting infected deceased person</t>
  </si>
  <si>
    <t>Answer - 16495267</t>
  </si>
  <si>
    <t>Charbonneau, Lianne</t>
  </si>
  <si>
    <t>NON-COMPLIANCE REPORTED BY P/T</t>
  </si>
  <si>
    <t>Answer - 16506165</t>
  </si>
  <si>
    <t>All regions</t>
  </si>
  <si>
    <t>Tracking - survey PPE</t>
  </si>
  <si>
    <t>ATL - 16515291
QC - 16515305
PNR - 16515866
PAC - 16517565
ON - 16517557
NCR (standards) - 16515327
NCR (response) -  16516500
email of compilation - 16517577</t>
  </si>
  <si>
    <t>Chung, William</t>
  </si>
  <si>
    <t>Removal of italic text - 6.3 TDGR</t>
  </si>
  <si>
    <t>6.3 TDGR</t>
  </si>
  <si>
    <t>Answer - 16518232</t>
  </si>
  <si>
    <t>Heather Lilburn</t>
  </si>
  <si>
    <t>2.2(1) and 4.1</t>
  </si>
  <si>
    <t>Vitalaire Canada Inc.</t>
  </si>
  <si>
    <t>Transportation of hand sanitizer by Canada Post</t>
  </si>
  <si>
    <t>Mustatia, Sean</t>
  </si>
  <si>
    <t>TDG MOC</t>
  </si>
  <si>
    <t>B-620 inspection</t>
  </si>
  <si>
    <t>Tracked email - 16527776</t>
  </si>
  <si>
    <t>David Hebert</t>
  </si>
  <si>
    <t>Pan Pacific Recycling</t>
  </si>
  <si>
    <t>5.12(1)</t>
  </si>
  <si>
    <t>Shimono, Jane</t>
  </si>
  <si>
    <t xml:space="preserve">USE OF SAFETY AND ENFORCEMENT ASSESSMENT TOOL (SEAT) </t>
  </si>
  <si>
    <t>Initial email - 16540290
Request to add TDGA reference in IIS - 16540280
Corrections by inspector - 16542295</t>
  </si>
  <si>
    <t>Answer - 16541230
Ack from RM - 16543580</t>
  </si>
  <si>
    <t>Gagnon, Nathalie</t>
  </si>
  <si>
    <t>definition of consignor / report</t>
  </si>
  <si>
    <t>Part 3</t>
  </si>
  <si>
    <t>Answer - 16543795</t>
  </si>
  <si>
    <t>MacLean, Travis</t>
  </si>
  <si>
    <t>Information for Ontario region / cylinder issue</t>
  </si>
  <si>
    <t>Tracked email - 16544052</t>
  </si>
  <si>
    <t>TDG Enforcement</t>
  </si>
  <si>
    <t>Clarification of "verbal warning" in the SEAT tool</t>
  </si>
  <si>
    <t>Tracked email - 16544084</t>
  </si>
  <si>
    <t>Answer - 16544637</t>
  </si>
  <si>
    <t>Paquette, Micheline</t>
  </si>
  <si>
    <t>ATIP / inspection reports</t>
  </si>
  <si>
    <t>Initial email - 16544844
Answer - 16544833
Ack from inspector - 16545075</t>
  </si>
  <si>
    <t>remote inspections</t>
  </si>
  <si>
    <t>Answer - 16545343</t>
  </si>
  <si>
    <t>Sieloff, Kurt</t>
  </si>
  <si>
    <t>Clarification of SEAT</t>
  </si>
  <si>
    <t>Clarification of SEAT / use of enforcement tools when remotely conducting inspections</t>
  </si>
  <si>
    <t>Tracking - survey PPE (2nd)</t>
  </si>
  <si>
    <t xml:space="preserve">USE OF INFORMATION / INSPECTION OR INVESTIGATION </t>
  </si>
  <si>
    <t>Email - 16551931</t>
  </si>
  <si>
    <t xml:space="preserve">LIST OF DISTILLERIES MANUFACTURING HAND SANITIZERS </t>
  </si>
  <si>
    <t>Covid 19 remote inspections / naming convention</t>
  </si>
  <si>
    <t>Ladouceur, Elrick</t>
  </si>
  <si>
    <t xml:space="preserve">NOTICE FOR AN EARLY RESOLUTION MEETING / PON </t>
  </si>
  <si>
    <t>Forwarded to Lianne Charbonneau - 16558903
Answer for L.Charbonneau - 16560152</t>
  </si>
  <si>
    <t>Friesen, Miranda</t>
  </si>
  <si>
    <t>Valerian Labs Inc.</t>
  </si>
  <si>
    <t>Z-4072-25-23-28052009292761</t>
  </si>
  <si>
    <t>Z-4072-25-21-21042003525660</t>
  </si>
  <si>
    <t>Z-4072-25-21-13052009030267</t>
  </si>
  <si>
    <t>Serbatoi Canada</t>
  </si>
  <si>
    <t>Importation of fuel tanks</t>
  </si>
  <si>
    <t>Forwarded to TDG Regulatory Questions - 16562683</t>
  </si>
  <si>
    <t>Initila email - 16558970
Discussion between E. Ladouceur and L.Belair - 16559000
Email from O.Oyelow - 16562852
Email from E.ladouceur - 16568614</t>
  </si>
  <si>
    <t>Initial email - 16551572
Answer - 16551550
Ack from RM - 16568738</t>
  </si>
  <si>
    <t>Nastiuk,Trudy</t>
  </si>
  <si>
    <t>Applicability of TDG Act &amp; Regulations for Airport Operators (Aerodromes</t>
  </si>
  <si>
    <t>Kaplin, Kevin</t>
  </si>
  <si>
    <t>6.1(1)</t>
  </si>
  <si>
    <t>Canada Post undeclared DG's April 2020</t>
  </si>
  <si>
    <t>Initial email - 16587818</t>
  </si>
  <si>
    <t>PNR - 16549720 / 16590220</t>
  </si>
  <si>
    <t>Undeclared DG intercepted in UK</t>
  </si>
  <si>
    <t>Initial email - 16590240</t>
  </si>
  <si>
    <t>TP14877</t>
  </si>
  <si>
    <t>incident with a Peroxide rail car</t>
  </si>
  <si>
    <t>Bechamp, Danny</t>
  </si>
  <si>
    <t>wording for 1.27 vs. hand sanitizer in aircraft</t>
  </si>
  <si>
    <t>Initial email - 16592974
Answer - 16592998</t>
  </si>
  <si>
    <t>TDGR, PART 1, SECTION 1.32.3, CLASS 2, GASES, IN SMALL MEANS OF CONTAINMENT EXEMPTION VS FAQ WORDING</t>
  </si>
  <si>
    <t>Desroches, Mathieu</t>
  </si>
  <si>
    <t>1.32.3</t>
  </si>
  <si>
    <t>Initial email - 16593640
Discussion with B.Robillard - 16594777
Answer - 16593624 / 16594759</t>
  </si>
  <si>
    <t>initial  email - 16592401
answer-Luc Belair-16592418 - 16596631</t>
  </si>
  <si>
    <t>INSPECTOR'S MANUAL 3.6.3 AND 19.2 / THE MEANING OF "ROUTINE INSPECTION"</t>
  </si>
  <si>
    <t>Initial email - 16599036 / 16599041
Discussion with Steve Eastman - 16599029
Answer - 16599024</t>
  </si>
  <si>
    <t>Initial email - 16548335
Forwarded to S.Valad - 16548343 / 16548559
Additional information from RM - 16549068 / 16602159
Answer - 16592920
Additional clarification from RM - 16596693
Answer from S.Valad - 16596705</t>
  </si>
  <si>
    <t>Consignment inspection for compagnie bassed in Quebec</t>
  </si>
  <si>
    <t>Information - consignment inspection Copers motors SK</t>
  </si>
  <si>
    <t>Email - 16602329</t>
  </si>
  <si>
    <t>Email - 16602362</t>
  </si>
  <si>
    <t>RRC-16564153
Discussion V.Whitton and S.Dauphnee - 16596740 / 16599443 / 16599454
Answer - 16599429
Request by RM to forward information to regions - 16602555 / 16602538</t>
  </si>
  <si>
    <t>Initial email - 16602412
Information forwarded to RM Quebec - 16602301
Ack from RM - 16502565</t>
  </si>
  <si>
    <t>Cotton, Wayne</t>
  </si>
  <si>
    <t>DISCLOSURE PACKAGE TO CROWN IN REFERENCE TO PROVINCIAL OFFENCES TICKETS IN ONTARIO REGION / SEAT</t>
  </si>
  <si>
    <t>ENFORCEMENT OF ICAO TI'S TRAINING PROGRAM AND PROCEDURES REQUIREMENTS</t>
  </si>
  <si>
    <t>ICAO TI, Part 1 and 7</t>
  </si>
  <si>
    <t>12.1(1) and 12.1(2)</t>
  </si>
  <si>
    <t>Email - 16609114</t>
  </si>
  <si>
    <t xml:space="preserve">Consignment report / Oak Point Service - IIS# 17815 </t>
  </si>
  <si>
    <t>Remote acceptance</t>
  </si>
  <si>
    <t>C&amp;R NAMING CONVENTIONS AND RDIMS CLASSIFICATIONS</t>
  </si>
  <si>
    <t>Desjardin,Ray</t>
  </si>
  <si>
    <t>Request for Regulatory Clarification Submission - Retailers of Dangerous Goods</t>
  </si>
  <si>
    <t>Initial email-16621085
answer-1662191</t>
  </si>
  <si>
    <t>Park, Amy</t>
  </si>
  <si>
    <t>EI / cross docking - comments from RAB</t>
  </si>
  <si>
    <t>Comments forwarded to S.Valade - 16624708</t>
  </si>
  <si>
    <t xml:space="preserve">Use of alternative Inspector Notebooks </t>
  </si>
  <si>
    <t>Email - 16626262</t>
  </si>
  <si>
    <t>Initial email - 16612345
Forwarded to F.Rothwell - 16625038 /  16625690
Answer - 16625686
Ack from inspector - 16626809</t>
  </si>
  <si>
    <r>
      <t>SEAT FOR NATIONAL ENERGY EQUIPMENT INC (</t>
    </r>
    <r>
      <rPr>
        <b/>
        <sz val="10"/>
        <color theme="1"/>
        <rFont val="Arial"/>
        <family val="2"/>
      </rPr>
      <t>MOC FACILITY</t>
    </r>
    <r>
      <rPr>
        <sz val="10"/>
        <color theme="1"/>
        <rFont val="Arial"/>
        <family val="2"/>
      </rPr>
      <t>) - IIS 19195</t>
    </r>
  </si>
  <si>
    <r>
      <t xml:space="preserve"> SEAT / IIS#16706  /Big Pines Trailer Sales (1998) Limited (</t>
    </r>
    <r>
      <rPr>
        <b/>
        <sz val="10"/>
        <color theme="1"/>
        <rFont val="Arial"/>
        <family val="2"/>
      </rPr>
      <t>MOC facility</t>
    </r>
    <r>
      <rPr>
        <sz val="10"/>
        <color theme="1"/>
        <rFont val="Arial"/>
        <family val="2"/>
      </rPr>
      <t>)</t>
    </r>
  </si>
  <si>
    <t>Email - 16627428</t>
  </si>
  <si>
    <t>5(a), 5(b), 5(c ), 5(d)</t>
  </si>
  <si>
    <t>2.2(2), 3.1(2), 4.4(1)(a)12.1(1)</t>
  </si>
  <si>
    <t>Initial email - 16562576
Request to add ref. to TDGA in IIS - 16562528 / 16562609
Corrections by inspector - 16630920</t>
  </si>
  <si>
    <t>Comments on Cross-docking EI</t>
  </si>
  <si>
    <t>Forwarded to S.Valade - 16631527</t>
  </si>
  <si>
    <t>Laurendeau, Julie</t>
  </si>
  <si>
    <t xml:space="preserve">QUESTION RELATED TO FLAMMABLE LIQUIDS IN TRANSIT/RAIL TRANSLOADING SITE </t>
  </si>
  <si>
    <t>Initial email - 16632270
Answer following phone call - 16632239
Ack from inspector - 16632724</t>
  </si>
  <si>
    <t>Initial email - 16624953
Ack from Enforcement - 16624918
Ack from RM - 16624938
Email from L.Belair - 16635621
Answer - 16635598
Ack from RM - 16635656</t>
  </si>
  <si>
    <t>Inspection of an individual / IIS</t>
  </si>
  <si>
    <t>Initial email - 16636283
Email from S.Dauphinee - 16636303
Answer - 16636269
Ack from RM - 16638421</t>
  </si>
  <si>
    <t>Nichols, Cluny</t>
  </si>
  <si>
    <t>Saf-Way Auto Parts Limited</t>
  </si>
  <si>
    <t>Z-4072-21-21-24062010563573</t>
  </si>
  <si>
    <t>Williams, Cory</t>
  </si>
  <si>
    <r>
      <t>SEAT / IIS# 4823259 / M 1 Tank Inspections Ltd. (</t>
    </r>
    <r>
      <rPr>
        <b/>
        <sz val="10"/>
        <color theme="1"/>
        <rFont val="Arial"/>
        <family val="2"/>
      </rPr>
      <t>MOC Facility</t>
    </r>
    <r>
      <rPr>
        <sz val="10"/>
        <color theme="1"/>
        <rFont val="Arial"/>
        <family val="2"/>
      </rPr>
      <t>)</t>
    </r>
  </si>
  <si>
    <t>Email - 16638457</t>
  </si>
  <si>
    <t>Initial email - 16612274
Email S.Valade - 16612277
Answer - 16612272
Ack from RM but RM requestion guidance / Discussion with L.Bellair and until planed meeting, there is nothing to add - 16638526</t>
  </si>
  <si>
    <t>Initial email - 16549442
Answer to part 1 of 2 - 16549415
Part 2 of 2 in a NOMC discussion</t>
  </si>
  <si>
    <t>Canada Post undeclared DG's for Mai</t>
  </si>
  <si>
    <t>Email - 16638555</t>
  </si>
  <si>
    <t>initial email and request for modifications
to IIS references - 16521192
DN release and missing information in IIS - 16562458
REQUEST TO CHECK NOTICE OF DETENTION IN THE VIOLATION TAB AND REMOVE THE NDRNC - 16638716</t>
  </si>
  <si>
    <t>Initial email - 16638449
Request to check NOI for reference to the Act - 16638444
Correction by inspector - 16638866</t>
  </si>
  <si>
    <t xml:space="preserve"> SASKBATTERY 
DISTRIBUTORS INC</t>
  </si>
  <si>
    <t>Wood, David</t>
  </si>
  <si>
    <t>5(b), 5(d)</t>
  </si>
  <si>
    <t>11.1(1)(b)</t>
  </si>
  <si>
    <t>Z-4072-24-23-05052004182554</t>
  </si>
  <si>
    <t>Email - 16646032</t>
  </si>
  <si>
    <t>Yes</t>
  </si>
  <si>
    <t>Carriere, Ronald</t>
  </si>
  <si>
    <t xml:space="preserve">Twenty Ten Timber
 Products Ltd </t>
  </si>
  <si>
    <t>Z-4072-25-2125062011221302</t>
  </si>
  <si>
    <t>Email - 16661148</t>
  </si>
  <si>
    <t>Desjardins, Ray</t>
  </si>
  <si>
    <t>Clarification of SEAT / statut of limitations for past non-compliance</t>
  </si>
  <si>
    <t>Z-4072-25-23-24062004361200</t>
  </si>
  <si>
    <t>Air Canada Cargo</t>
  </si>
  <si>
    <t>Corey Lotnik</t>
  </si>
  <si>
    <t>Initial email - 16661944
Changes requested in IIS - 16661922</t>
  </si>
  <si>
    <t>Shand, Lawrence</t>
  </si>
  <si>
    <t>MOU with Canada Post</t>
  </si>
  <si>
    <r>
      <t>Initial email</t>
    </r>
    <r>
      <rPr>
        <sz val="14"/>
        <color theme="1"/>
        <rFont val="Arial"/>
        <family val="2"/>
      </rPr>
      <t>-</t>
    </r>
    <r>
      <rPr>
        <sz val="11"/>
        <color theme="1"/>
        <rFont val="Arial"/>
        <family val="2"/>
      </rPr>
      <t xml:space="preserve">16441955
</t>
    </r>
    <r>
      <rPr>
        <sz val="9"/>
        <color theme="1"/>
        <rFont val="Arial"/>
        <family val="2"/>
      </rPr>
      <t>CORRECTIONS REQUESTED</t>
    </r>
    <r>
      <rPr>
        <sz val="11"/>
        <color theme="1"/>
        <rFont val="Arial"/>
        <family val="2"/>
      </rPr>
      <t>-16441938
Document envoyé - 16663027</t>
    </r>
  </si>
  <si>
    <t>Initial email-16441955
Document envoyé - 16663027</t>
  </si>
  <si>
    <t>Email - 16661248
Forwarded to S.Valad - 16661233 / 16662263
Answer - 16662235
Ack from RM - 16665565</t>
  </si>
  <si>
    <t>Email - 16650110
Amended NOI - 16666596
SEAT - 16666735 / 16666746</t>
  </si>
  <si>
    <t>12.1(2)</t>
  </si>
  <si>
    <t>Dauphinee, Sean</t>
  </si>
  <si>
    <t>Inspection of 604 Air Operators</t>
  </si>
  <si>
    <t>Answer - 16665553
Clarification requested by Inspector - 16672678
Email to secretariat requesting clarification - 16672677
Clarification from secretariat - 16674917</t>
  </si>
  <si>
    <t>Initial email - 16674888
Answer prepared by Benoit - 16674899
Answer - 16674882
Ack from requestor - 16674926</t>
  </si>
  <si>
    <t>3.1(1), 4.4(1)(a), 12.1(2)</t>
  </si>
  <si>
    <t>Buynship Inc.</t>
  </si>
  <si>
    <t>Z-4072-23-23-09072001031320</t>
  </si>
  <si>
    <t>Email - 16676829</t>
  </si>
  <si>
    <t>Z-4072-21-21-24062005332760</t>
  </si>
  <si>
    <t>Email explanation from inspector - 16683295
NOI form IIS#2722 - 16638449</t>
  </si>
  <si>
    <t>Initial email - 16609068
Request for form - 16609048
Form received - 16638957
Ack to Inspector - 16608997
Draft from B.Robillard - 16638968
Original document with answer - 16638914
Answer sent to inspector - 16638949
Original document with reviewed answer - 16684574
Reviewed answer sent to inspector - 16684848</t>
  </si>
  <si>
    <t xml:space="preserve">TDG National Oversight Plan </t>
  </si>
  <si>
    <t xml:space="preserve"> CEE Dashboard - Q1 data</t>
  </si>
  <si>
    <t>NOP-Q1 data 2020:16686735</t>
  </si>
  <si>
    <t>Weiker, Derek</t>
  </si>
  <si>
    <t>Evonik Canada inc.</t>
  </si>
  <si>
    <t>Z-4072-21-21-24062005135843</t>
  </si>
  <si>
    <t>Z-4072-24-23-14072008110156</t>
  </si>
  <si>
    <t>Enforcement Instruction 2019-004 Cross Docking and Reshipping</t>
  </si>
  <si>
    <t>3.6.1(2), 5.1.1(3)</t>
  </si>
  <si>
    <t>Advisory Note - Sandbox Pilot Project for Electronic Shipping Documents</t>
  </si>
  <si>
    <t>Statute of limitations to issue a ticket</t>
  </si>
  <si>
    <t>Walker, David</t>
  </si>
  <si>
    <t>3.5(1)(d)</t>
  </si>
  <si>
    <t>Z-4072-23-21-20072010183482</t>
  </si>
  <si>
    <t>Harold Marcus Ltd</t>
  </si>
  <si>
    <t>Email to inspectors - 16703498
Email to stakeholders - 16703507 / 16703519 / 16707802</t>
  </si>
  <si>
    <t>Sliva, Greg</t>
  </si>
  <si>
    <t xml:space="preserve">5(b) </t>
  </si>
  <si>
    <t>Gardewine Groupe Limited 
Partnership</t>
  </si>
  <si>
    <t>Z-4072-24-21-08072004424343</t>
  </si>
  <si>
    <t>3.5(1)(c )(ii), 3.5(1)(d)</t>
  </si>
  <si>
    <t>Email - 166698079 / 16698097
Corrections - 16712565 / 16712566</t>
  </si>
  <si>
    <t>Facility 1100 Update - Raven industries - MOC</t>
  </si>
  <si>
    <t>Emails forwarded to Luc Belair - 16712573 / 16712575</t>
  </si>
  <si>
    <t>Initial email - 16712562
Request for corrections in IIS - 16712559
Corrections by inspector - 16715616</t>
  </si>
  <si>
    <t>Canada Post undeclared DG's June 2020</t>
  </si>
  <si>
    <t>Email - 16721262
Forwarded to SRA  - 16721252</t>
  </si>
  <si>
    <t>Answer - 16727960</t>
  </si>
  <si>
    <t>Raynald Boies requestion to share Advisory Note of Sandboc Pilot Project with Environment</t>
  </si>
  <si>
    <t>does SEAT tool has to be completed by the RMS</t>
  </si>
  <si>
    <t>Answer-16737572</t>
  </si>
  <si>
    <t>Shaun Singh</t>
  </si>
  <si>
    <t xml:space="preserve"> 5.2, 5.14(1)(b)(ii)</t>
  </si>
  <si>
    <t>SMBC Rail Services LLC</t>
  </si>
  <si>
    <t>initial email - 16744894
ack email- 16744882</t>
  </si>
  <si>
    <t>Meyers, Debbie</t>
  </si>
  <si>
    <t>Missing Info On Reference Centre &amp; Problems Viewing ECs for E-Shipping Documents on TDG Website</t>
  </si>
  <si>
    <t>Z-4072-23-22-07082010332290</t>
  </si>
  <si>
    <t>ack to inspector email-16745069
answer-16745964
Additional emails - 16751588 / 16751575</t>
  </si>
  <si>
    <t>Dykeman, Roderick (NS Gouv)</t>
  </si>
  <si>
    <t>Cargo Tank training/instructor</t>
  </si>
  <si>
    <t>Forwarded to Safety Awareness - 16751939
Response from Awareness - 16755386</t>
  </si>
  <si>
    <t>3.5(1)(c )(ii), 3.5(1)(c )(ii)(a)</t>
  </si>
  <si>
    <t>Integrated Pest Supplies Ltd.</t>
  </si>
  <si>
    <t>Z-4072-25-21-29072008244581</t>
  </si>
  <si>
    <t>Initial email - 16758641
Request to add reference to the TDGA in IIS - 16758635</t>
  </si>
  <si>
    <t>Lessard, Suzanne</t>
  </si>
  <si>
    <t>Use of TDGA and TDGR references for MOC Facility non-compliances</t>
  </si>
  <si>
    <t>Initial email - 16758982
Discussion with Vincent - 16758989
Answer - 16758970</t>
  </si>
  <si>
    <t>Recording remote oversight activities</t>
  </si>
  <si>
    <t>Initial Email - 16762138
Temporary solution and email chain - 16762144</t>
  </si>
  <si>
    <t>Email - 16690326
Ack from contact - 16690339
Revised NOI - 16698493 / 16762149
Ack from contact - 16698506
Corrective actions - 16751617</t>
  </si>
  <si>
    <t>Whitton, Whitton</t>
  </si>
  <si>
    <t>Number of inspection per inspector in NOP</t>
  </si>
  <si>
    <t>Answer - 16762347</t>
  </si>
  <si>
    <t>Z-4072-23-59-22072001484813</t>
  </si>
  <si>
    <t>Bruno's Automotive Inc.</t>
  </si>
  <si>
    <t>5.1.1(2)</t>
  </si>
  <si>
    <t>MacDonald, Sharon Lynn</t>
  </si>
  <si>
    <t>Email - 16766935</t>
  </si>
  <si>
    <t>Reese, Bill</t>
  </si>
  <si>
    <t>Last possible construction date for TC 306 cargo tank</t>
  </si>
  <si>
    <t>Email with answer - 16768121</t>
  </si>
  <si>
    <t>777603 Ontario Inc.
 (dba Ricci’s Trucking)</t>
  </si>
  <si>
    <t xml:space="preserve">5(a), 5(b) </t>
  </si>
  <si>
    <t>3.4(1), 6.3(1)(a)</t>
  </si>
  <si>
    <t>Z-4072-23-21-17082002591241</t>
  </si>
  <si>
    <t>Email - 16770208</t>
  </si>
  <si>
    <t>NOTICE OF COUNTERFEIT MARKINGS ON ELECTRIC VEHICLE</t>
  </si>
  <si>
    <t>Initial email - 16780975
Forwarded to all inspectors - 16780949</t>
  </si>
  <si>
    <t>49 CFRSection 180-415(b)(3)</t>
  </si>
  <si>
    <t>Highway tank test/inspection markings</t>
  </si>
  <si>
    <t>Answer from C.Nowak - 16781038</t>
  </si>
  <si>
    <t>Facility 1100 Update - Raven industries</t>
  </si>
  <si>
    <t>Grover, Jasbir</t>
  </si>
  <si>
    <t>What type of tank is this?</t>
  </si>
  <si>
    <t>Answer from C.Nowak - 16781110</t>
  </si>
  <si>
    <t>Tank Car and Highway Tank Colour Requirements</t>
  </si>
  <si>
    <t>Answer from C.Nowak  to R.desjardins - 16781149
Answer from C.Nowak to R.Boies - 16781169</t>
  </si>
  <si>
    <t>a person being financially responsible in accordance with the regulations</t>
  </si>
  <si>
    <t>Section 14</t>
  </si>
  <si>
    <t>Answer from C.Nowak - 16781077
Additional emails - 16790220</t>
  </si>
  <si>
    <t>Information regarding Krown Aluma Brite</t>
  </si>
  <si>
    <t>Forwarded to Ontario region - 16790280
Pictures sent to Ontario region - 16790319</t>
  </si>
  <si>
    <t>Z-4072-24-21-25082001100934</t>
  </si>
  <si>
    <t>Finish Master Canada Inc.</t>
  </si>
  <si>
    <t>3.1(1)</t>
  </si>
  <si>
    <t>Kaplan, Kevin</t>
  </si>
  <si>
    <t>Email - 16800527</t>
  </si>
  <si>
    <t>Z-4072-24-21-22072010590830</t>
  </si>
  <si>
    <t xml:space="preserve">Padlei Co-operative Association  </t>
  </si>
  <si>
    <t>3.2(1), 4.1, 5.14(1)(a)</t>
  </si>
  <si>
    <t>George, Winston</t>
  </si>
  <si>
    <t>SEAT - Samester Equipment Sales- IIS# 16187 - External Visual Requalification of Cylinders-MOC</t>
  </si>
  <si>
    <t>Forwarded to L.Belair - 16801216</t>
  </si>
  <si>
    <t>Email - 16800689
Request for documents and corrections in IIS - 16800678
Documents received - 16801886</t>
  </si>
  <si>
    <t>Hebert, David</t>
  </si>
  <si>
    <t>Z-4072-25-21-06082011012101</t>
  </si>
  <si>
    <t>Email - 16803169
Request corrections in IIS - 16803164</t>
  </si>
  <si>
    <t>Grice, Brent</t>
  </si>
  <si>
    <t>Z-4072-23-21-31082010243233</t>
  </si>
  <si>
    <t>3.5(1)(c )(vii)</t>
  </si>
  <si>
    <t>Agrospray</t>
  </si>
  <si>
    <t>Valad, Stephanie</t>
  </si>
  <si>
    <t>Request to forward to RM - Canada Post monthly undeclared DG's</t>
  </si>
  <si>
    <t>Initial email - 16807606
Comments from I.Crevier - 16807595</t>
  </si>
  <si>
    <t>Email - 16807260
Request to add reference to the TDGA in IIS - 16807259
Corrections from inspector - 16809448</t>
  </si>
  <si>
    <t xml:space="preserve">3.5(1)(c )(i), 3.5(1)(c )(ii), 
3.5(1)(c )(v), 3.5(1)(e ) </t>
  </si>
  <si>
    <t>Z-4072-25-21-27082011173396</t>
  </si>
  <si>
    <t xml:space="preserve">WeldCor Supplies BC Inc. </t>
  </si>
  <si>
    <t>Crevier, Ian</t>
  </si>
  <si>
    <t>Reporting non-compliance to Transport Canada / Rapport de non-conformité à Transports Canada</t>
  </si>
  <si>
    <t>Email sent to NCWG members - 16815726
Approval from L.Belair - 16815745</t>
  </si>
  <si>
    <t>Initial email - 16815484
Request for correction on NOI (wrong IIS#) - 16815453
Corrected NOI - 16816566</t>
  </si>
  <si>
    <t>Dunk, Mathew</t>
  </si>
  <si>
    <t>Tandet Nationalease Ltd, IIS 14529, MOC # 25-0836</t>
  </si>
  <si>
    <t>Initial email - 16816945
Forwarded to L.Belair and engineering services - 16816923</t>
  </si>
  <si>
    <t>US based shipper, ERAP and offering for transport</t>
  </si>
  <si>
    <t>Initial email - 16819266
Discussions with B.Robillard - 16819258
Answer - 16819245</t>
  </si>
  <si>
    <t>Initial email - 16707375
Answer - 16707363
Ack from RM - 16710182
Additional question from RM - 16817318
Discussion with B.Robillard - 16817345
Answer - 16817298
Ack from RM - 16819275</t>
  </si>
  <si>
    <t>Initial email - 16819348
Forwarded to L.Belair and engineering services - 16819629</t>
  </si>
  <si>
    <t>Initial email - 16781272
Answer - 16781263
Discussions with L.Belair - 16803906
Recommended to discuss at NCWG - 16803899
Ack from RM - 16803915
Other considerations - 16819397</t>
  </si>
  <si>
    <t>Possible error in SP144 in the TDGR</t>
  </si>
  <si>
    <t>Levinton, Rod</t>
  </si>
  <si>
    <t xml:space="preserve">B620 REGISTERED FACILITY 25-0278 - CROPPER MOTORS INC. - CONSIGNMENT INSPECTION AND SEAT </t>
  </si>
  <si>
    <t>Z-4072-25-23-04092010552295</t>
  </si>
  <si>
    <t>CBS PARTS LTD</t>
  </si>
  <si>
    <t>5(c ), 5(d)</t>
  </si>
  <si>
    <t>3.1(1), 4.11(1), 4.12(1), 
5.1.1(1), 5.12(1)</t>
  </si>
  <si>
    <t>Email - 16827432</t>
  </si>
  <si>
    <t>Initial email - 16608922
Ack to Inspector - 16608908
Email to PPSC - 16625005
Email of update/in progress - 16638576 / 16661570 / 16753540 / 16827497</t>
  </si>
  <si>
    <t>TC tanks with modified specification plates</t>
  </si>
  <si>
    <t>Answer from C.Nowak - 16827753</t>
  </si>
  <si>
    <t>Question code IMDG vs RTMD</t>
  </si>
  <si>
    <t>Initial email - 16828300
Discussions - 16828288
Answer - 16828271</t>
  </si>
  <si>
    <t>Rezi, Laura</t>
  </si>
  <si>
    <t>Email sent to Regulatory proposals - 16819457
Answer from Regulatory proposals - 16828675</t>
  </si>
  <si>
    <t>Initial email - 16707455
Request to add ref.to Act in IIS - 16707444
INITIALLY ENTERED AS QC REGION</t>
  </si>
  <si>
    <t>CBS Parts Ltd</t>
  </si>
  <si>
    <t>Z-4072-24-24-24092010084048</t>
  </si>
  <si>
    <t>Miracle Sanitation Supply Company Inc.</t>
  </si>
  <si>
    <t>Z-4072-23-21-28092011405875</t>
  </si>
  <si>
    <t>Z-4072-24-21-29092009014610</t>
  </si>
  <si>
    <t>Z-4072-22-21-071022006211039</t>
  </si>
  <si>
    <t>Z-4072-22-21-08102008540014</t>
  </si>
  <si>
    <t>Z-4072-25-21-15092011003405</t>
  </si>
  <si>
    <t>Z-4072-24-21-01102008175642</t>
  </si>
  <si>
    <t>Z-4072-23-22-22092012061316</t>
  </si>
  <si>
    <t>Z-4072-25-21-0102011202234</t>
  </si>
  <si>
    <t>Z-4072-23-21-06102003280248</t>
  </si>
  <si>
    <t>Not in IIS</t>
  </si>
  <si>
    <t>Z-4072-24-21-16102011124958</t>
  </si>
  <si>
    <t>Z-4072-25-23-21102005361375</t>
  </si>
  <si>
    <t>Z-4072-23-21-13102003202272</t>
  </si>
  <si>
    <t>Z-4072-23-23-22102002301976</t>
  </si>
  <si>
    <t>Z-4072-22-21-16102007281914</t>
  </si>
  <si>
    <t>Z-4072-24-21-30102012191133</t>
  </si>
  <si>
    <t>Z-4072-25-23-27102005583179</t>
  </si>
  <si>
    <t>Z-4072-23-21-30102010471909</t>
  </si>
  <si>
    <t>Z-4072-25-23-04112001110449</t>
  </si>
  <si>
    <t>Z-4072-23-21-29102011153521</t>
  </si>
  <si>
    <t>Z-4072-25-21-12112002120138</t>
  </si>
  <si>
    <t>Z-4072-25-21-29102003230934</t>
  </si>
  <si>
    <t>Z4072-23-21-17112003240071</t>
  </si>
  <si>
    <t>Z4072-23-23-18112003522540</t>
  </si>
  <si>
    <t>Z4072-25-23-03112002495078</t>
  </si>
  <si>
    <t>Z4072-21-21-24112011471237</t>
  </si>
  <si>
    <t>Z-4072-21-21-07122005400261</t>
  </si>
  <si>
    <t>Z-4072-25-21-08122010090617</t>
  </si>
  <si>
    <t>Z-4072-25-23-03122012231011</t>
  </si>
  <si>
    <t>Z-4072-23-21-08122003273628</t>
  </si>
  <si>
    <t>Z-4072-25-23-20112003493523</t>
  </si>
  <si>
    <t>Z-4072-23-21-01122009312058</t>
  </si>
  <si>
    <t>not in IIS. RMS incident</t>
  </si>
  <si>
    <t>Z-4072-23-21-14122002160421</t>
  </si>
  <si>
    <t>Z-4072-25-21-25112009395681</t>
  </si>
  <si>
    <t>Z-4072-24-21-11122009564038</t>
  </si>
  <si>
    <t>Z-4072-24-21-30112005023197</t>
  </si>
  <si>
    <t>Z-4072-24-23-04012101121726</t>
  </si>
  <si>
    <t>Z-4072-22-21-23032104354880</t>
  </si>
  <si>
    <t>Z-4072-23-21-04012103083580</t>
  </si>
  <si>
    <t>Z-4072-21-22-26112011402242</t>
  </si>
  <si>
    <t xml:space="preserve">Z-4072-26-23-19012102041081 </t>
  </si>
  <si>
    <t>Z-4072-23-21-12012110232143</t>
  </si>
  <si>
    <t>Z-4072-25-21-27012111431528</t>
  </si>
  <si>
    <t>Z-4072-24-21-15012110593050</t>
  </si>
  <si>
    <t>Z-4072-24-23-1201211061418</t>
  </si>
  <si>
    <t>Z-4072-24-23-06012103574375</t>
  </si>
  <si>
    <t>Z-4072-24-23-06012112335839</t>
  </si>
  <si>
    <t>Z-4072-24-23-04012101464664</t>
  </si>
  <si>
    <t>Z-4072-25-23-04022103213389</t>
  </si>
  <si>
    <t>Z-4072-25-21-13022102142569</t>
  </si>
  <si>
    <t>Z-4072-25-21-12012110285220</t>
  </si>
  <si>
    <t>Z-4072-25-23-07012104101495</t>
  </si>
  <si>
    <t>Z-4072-25-21-16022102045900</t>
  </si>
  <si>
    <t>Z-4072-25-21-03022102503882</t>
  </si>
  <si>
    <t>Z-4072-23-21-18022109185879</t>
  </si>
  <si>
    <t>Z-4072-23-21-17022110201204</t>
  </si>
  <si>
    <t>Z-4072-23-21-17022108331272</t>
  </si>
  <si>
    <t>Z-4072-23-21-24022108493063</t>
  </si>
  <si>
    <t>Z-4072-24-21-08022109103249</t>
  </si>
  <si>
    <t>Z-4072-25-23-25022102113302</t>
  </si>
  <si>
    <t>Z-4072-23-21-01032102510668</t>
  </si>
  <si>
    <t>Z-4072-23-21-04032111131823</t>
  </si>
  <si>
    <t>Z-4072-23-21-11012111134242</t>
  </si>
  <si>
    <t>Z-4072-25-21-16022101104914</t>
  </si>
  <si>
    <t>Z-4072-21-21-25022104514208</t>
  </si>
  <si>
    <t>Z-4072-23-21-10032111204921</t>
  </si>
  <si>
    <t>Z-4072-23-21-18032110402472</t>
  </si>
  <si>
    <t>Z-4072-23-21-19032111030105</t>
  </si>
  <si>
    <t>Z-4072-25-23-23032111533681</t>
  </si>
  <si>
    <t>Z-4072-25-23-23032102265248</t>
  </si>
  <si>
    <t>Z-4072-22-21-21012101342155</t>
  </si>
  <si>
    <t>Z-4072-21-21-26032110421048</t>
  </si>
  <si>
    <t>Z-4072-25-23-19032101493849</t>
  </si>
  <si>
    <t>Z-4072-25-23-18032102035737</t>
  </si>
  <si>
    <t>Z-4072-24-23-25032101052073</t>
  </si>
  <si>
    <t>202021-120</t>
  </si>
  <si>
    <t>202021-121</t>
  </si>
  <si>
    <t>202021-122</t>
  </si>
  <si>
    <t>202021-123</t>
  </si>
  <si>
    <t>202021-124</t>
  </si>
  <si>
    <t>202021-125</t>
  </si>
  <si>
    <t>202021-126</t>
  </si>
  <si>
    <t>202021-127</t>
  </si>
  <si>
    <t>202021-128</t>
  </si>
  <si>
    <t>202021-129</t>
  </si>
  <si>
    <t>202021-130</t>
  </si>
  <si>
    <t>Cresswell, James</t>
  </si>
  <si>
    <t>Allardyce, Anthony</t>
  </si>
  <si>
    <t>McCarty, Stephen</t>
  </si>
  <si>
    <t>Faust, Claude</t>
  </si>
  <si>
    <t>Gail, Begley</t>
  </si>
  <si>
    <t>Cooper, Gary</t>
  </si>
  <si>
    <t>McCann, Dean</t>
  </si>
  <si>
    <t>Iacobellis, Domenico</t>
  </si>
  <si>
    <t>Begley, Gail</t>
  </si>
  <si>
    <t>Paul, Rebecca</t>
  </si>
  <si>
    <t>Lilburn, Heather</t>
  </si>
  <si>
    <t>Godin, Rachelle</t>
  </si>
  <si>
    <t>Imler, Ida</t>
  </si>
  <si>
    <t>Mohammed, Zeena</t>
  </si>
  <si>
    <t>Boudreau, Marc-Olivier</t>
  </si>
  <si>
    <t>Lyver, Diann</t>
  </si>
  <si>
    <t>Li, Gary</t>
  </si>
  <si>
    <t>Lindsay, Heather</t>
  </si>
  <si>
    <t>Klassen, Elena</t>
  </si>
  <si>
    <t>Shand, Laurence</t>
  </si>
  <si>
    <t>Ouellette, Jean</t>
  </si>
  <si>
    <t>Gail Begley/Klassen, Elena</t>
  </si>
  <si>
    <t>Nothern Gas Installers inc.</t>
  </si>
  <si>
    <t>SHUR-GRO FARM SERVICES LTD</t>
  </si>
  <si>
    <t>Terminaux portuaires du Quebec Ltee</t>
  </si>
  <si>
    <t>NEAS Inc</t>
  </si>
  <si>
    <t>Smartcoat Products Ltd</t>
  </si>
  <si>
    <t>Automotive Refinish Technologies Inc.</t>
  </si>
  <si>
    <t>KRB Inspections Inc.</t>
  </si>
  <si>
    <t>Overland West Freight Lines Ltd.</t>
  </si>
  <si>
    <t>Brenntag Canada Inc.</t>
  </si>
  <si>
    <t>Philippe Gosselin et Associe Limitee</t>
  </si>
  <si>
    <t>Dempsey Laird Trucking Ltd</t>
  </si>
  <si>
    <t>Air North</t>
  </si>
  <si>
    <t>Consolidated Fastfrate Inc</t>
  </si>
  <si>
    <t>Dyno Nobel Canada Inc.</t>
  </si>
  <si>
    <t>Pembina Consumers Co-operative (2000) Ltd.</t>
  </si>
  <si>
    <t>Federal Express Canada Ltd</t>
  </si>
  <si>
    <t>Stirling Chemicals Inc.</t>
  </si>
  <si>
    <t>Siltech Corporation</t>
  </si>
  <si>
    <t>Peter KIM</t>
  </si>
  <si>
    <t>Express Air International Ltd.</t>
  </si>
  <si>
    <t>DP World Prince Rupert</t>
  </si>
  <si>
    <t>Superior Airway Limited</t>
  </si>
  <si>
    <t>Red Lake Plumbling and Heating</t>
  </si>
  <si>
    <t>Cool Creek Energy LTD BC0652260</t>
  </si>
  <si>
    <t>Corporation</t>
  </si>
  <si>
    <t>Feasible Fuels Ltd</t>
  </si>
  <si>
    <t>Jeff Mellish</t>
  </si>
  <si>
    <t>Shelburne Diesel Supplies &amp; Services Limited</t>
  </si>
  <si>
    <t>City of Kimberley (Works Yard)</t>
  </si>
  <si>
    <t>Agnico Eagle Mines Limited</t>
  </si>
  <si>
    <t>Keystone Automotive Operations</t>
  </si>
  <si>
    <t>536647 Yukon Inc</t>
  </si>
  <si>
    <t>Global Container Terminals Canada</t>
  </si>
  <si>
    <t>Cantol Corporation</t>
  </si>
  <si>
    <t>Westcan Bulk Transportation Ltd.</t>
  </si>
  <si>
    <t>GFL Environmental Inc.</t>
  </si>
  <si>
    <t>679094 BC Ltd. dba Ultra Fuels</t>
  </si>
  <si>
    <t>Precision Chemical Technologies</t>
  </si>
  <si>
    <t>Manitoba Hydro</t>
  </si>
  <si>
    <t>Air North Cargo</t>
  </si>
  <si>
    <t>Keystone Automotive Operations Inc.</t>
  </si>
  <si>
    <t xml:space="preserve">Moneries Field Service </t>
  </si>
  <si>
    <t>Mazout G.Bélanger Inc.</t>
  </si>
  <si>
    <t xml:space="preserve">Superb Sanitation Supplies Inc. </t>
  </si>
  <si>
    <t>Martin Fire Safety Ltd.</t>
  </si>
  <si>
    <t>Kristin BAUMGAERTNER</t>
  </si>
  <si>
    <t>TerraPure Environmental 
(legal Revolution Envoronmental Services LP)</t>
  </si>
  <si>
    <t>LONDON DRUGS LIMITED</t>
  </si>
  <si>
    <t>Twin Valley Co-op Ltd</t>
  </si>
  <si>
    <t>Purolator Courier</t>
  </si>
  <si>
    <t>Canada Post Whitehorse Processing Plant</t>
  </si>
  <si>
    <t>Canada Post Calgary Processing Plant</t>
  </si>
  <si>
    <t>Ship by mail Inc.</t>
  </si>
  <si>
    <t>United Parcel Service</t>
  </si>
  <si>
    <t>Systeme Norbec</t>
  </si>
  <si>
    <t>Coolmaster</t>
  </si>
  <si>
    <t>BASF Canada</t>
  </si>
  <si>
    <t>Global Insulated Door Inc</t>
  </si>
  <si>
    <t>KGL Freight Services</t>
  </si>
  <si>
    <t>Yeti Refrigeration Inc</t>
  </si>
  <si>
    <t>Tempest Energy Service Inc</t>
  </si>
  <si>
    <t>Quadra Chemicals</t>
  </si>
  <si>
    <t>Skinner Bros. Transport Limited</t>
  </si>
  <si>
    <t>North Star Air Ltd.</t>
  </si>
  <si>
    <t>AIR HEAT SUPPLIES (A Division of G&amp;M Heating Supplies)</t>
  </si>
  <si>
    <t>UNITED REFRIGERATION OF CANADA LTD</t>
  </si>
  <si>
    <t>Wuikinuxv Nation</t>
  </si>
  <si>
    <t>Morgan Multivan</t>
  </si>
  <si>
    <t>Morgan Canada Corp</t>
  </si>
  <si>
    <t>ERCO Worldwide Inc.</t>
  </si>
  <si>
    <t>JR Peyton Enterprises Ltd.</t>
  </si>
  <si>
    <t>PHP Precision Heliparts Canada</t>
  </si>
  <si>
    <t>Resolute FP Canada Inc.</t>
  </si>
  <si>
    <t>Intercity Industrial Supply Limited</t>
  </si>
  <si>
    <t>BASF Canada Inc.</t>
  </si>
  <si>
    <t>Canadian Pacific Railway</t>
  </si>
  <si>
    <t>Superior Propane</t>
  </si>
  <si>
    <t>Asco Canada Ltd.</t>
  </si>
  <si>
    <t>Lucas Rogers - Cougar</t>
  </si>
  <si>
    <t>Les Industries Structures SIP Inc</t>
  </si>
  <si>
    <t>Morgan Canada Corporation</t>
  </si>
  <si>
    <t>Morgan Multivan Corp</t>
  </si>
  <si>
    <t>Wasaya Airways Limited Partnership</t>
  </si>
  <si>
    <t>Bruce Stone Enterprises Ltd.
Canadian Tire Store 34</t>
  </si>
  <si>
    <t>Wasaga Petroleum LP</t>
  </si>
  <si>
    <t>LEI Customs Brokers Inc</t>
  </si>
  <si>
    <t>CANBAT Technologies Inc</t>
  </si>
  <si>
    <t xml:space="preserve">ENERGIE VALERO INC </t>
  </si>
  <si>
    <t>Exxon Mobile Canada Ltd.</t>
  </si>
  <si>
    <t>Cougar Hellicopter Inc.</t>
  </si>
  <si>
    <t>Canwest Marine Services Inc</t>
  </si>
  <si>
    <t>Shenzhen Zhibe International Trading</t>
  </si>
  <si>
    <t>Shukenbeita Distribution Corporation</t>
  </si>
  <si>
    <t>3.5(1)(c )(vi), 3.5(1)(d), 3.5(1)(f)</t>
  </si>
  <si>
    <t>5.10(1)(a)</t>
  </si>
  <si>
    <t>not in IIS yet</t>
  </si>
  <si>
    <t>5.14(1)(d)</t>
  </si>
  <si>
    <t>3.5(1)(c)</t>
  </si>
  <si>
    <t>3.4(1), 3.5(1)(d)</t>
  </si>
  <si>
    <t>3.5(1)(c), 3.5(1)(c)(ii), 3.5(1)(c)(vi), 3.6.1(2)</t>
  </si>
  <si>
    <t>5.10(11)(a)</t>
  </si>
  <si>
    <t>5.14(1)(a)(ii), 5.14(2)</t>
  </si>
  <si>
    <t>B621-14: 7.1 c, 7.4(c), 7.5.10</t>
  </si>
  <si>
    <t>5.14(1)(a)</t>
  </si>
  <si>
    <t>12.1, 12.2(a)</t>
  </si>
  <si>
    <t xml:space="preserve">ICAO 5;1.1 </t>
  </si>
  <si>
    <t>3.5(1)(c)(ii)(a)</t>
  </si>
  <si>
    <t>5.14(1)(a), 5.14(2)(b)</t>
  </si>
  <si>
    <t>5.14(2)(a), 5.14(2)(b), 5.14(1)(a)</t>
  </si>
  <si>
    <t>3.4(1), 3.6.1(2), 3.6(1)(a)</t>
  </si>
  <si>
    <t>Not in IIS due to Investigation</t>
  </si>
  <si>
    <t>5(a), 5(b)</t>
  </si>
  <si>
    <t>3.5(1)(c), 3.5(1)(d), 3.5(1)(f), 3.5(2), 3.6.1(2), 6.3(3)(a)</t>
  </si>
  <si>
    <t>12.1(1), 12.2(a)</t>
  </si>
  <si>
    <t>3.5(1)(f), 3.5(1)(c)(ii)</t>
  </si>
  <si>
    <t>12(1), 12.2(a)</t>
  </si>
  <si>
    <t>5;2, 5;3</t>
  </si>
  <si>
    <t>5(a), 5(b), 13(2)(b)</t>
  </si>
  <si>
    <t>1.5.1(1), 3.2(1), 6.1(1), 6.2, 6.6</t>
  </si>
  <si>
    <t>7(1)(b)</t>
  </si>
  <si>
    <t>7.2(1)(a)</t>
  </si>
  <si>
    <t>5(a), 5(d)</t>
  </si>
  <si>
    <t>12.1.(2)</t>
  </si>
  <si>
    <t xml:space="preserve">1.3.1(a), 1.3.1(b), 4.1.1.1 (a), (c), (f), (g), </t>
  </si>
  <si>
    <t xml:space="preserve">6.1.2(a), 12.1(2), 12.2(a) </t>
  </si>
  <si>
    <t>4.1.4.1(b), 4.1.5.1, 4.1.5.8.1(a)</t>
  </si>
  <si>
    <t xml:space="preserve">5(c) </t>
  </si>
  <si>
    <t>5.1.1(1)</t>
  </si>
  <si>
    <t>5(a) - 33(1)(a)</t>
  </si>
  <si>
    <t>6.1(1) - 6.1(2)</t>
  </si>
  <si>
    <t>5(a), 5(b), 5(d)</t>
  </si>
  <si>
    <t>12.1(2), 12.2(a)</t>
  </si>
  <si>
    <t>5.1.1(2), 5.13(1)(d)</t>
  </si>
  <si>
    <t>5.1(3)</t>
  </si>
  <si>
    <t>3.5(1)(c )(ii), 3.5(1)(d), 3.6.1(2)</t>
  </si>
  <si>
    <t>Will contact us when in IIS</t>
  </si>
  <si>
    <t>3.6.1(2)</t>
  </si>
  <si>
    <t xml:space="preserve">33(1)( c ) </t>
  </si>
  <si>
    <t>2.2(5)</t>
  </si>
  <si>
    <t>3.5(1)(c )</t>
  </si>
  <si>
    <t>18(1)</t>
  </si>
  <si>
    <t>3.5(1)(c ), 3.5(1)(c )(i),
3.5(1)(c )(ii), 3.5(1)(c )(iii),
3.5(1)(c )(v), 3.5(1)(f),
3.5(2), 3.6.1(1), 3.6.1(2),
6.3(3)(a), 6.7</t>
  </si>
  <si>
    <t>5.10(3), 5.10(7)(a)</t>
  </si>
  <si>
    <t>12.1(1)</t>
  </si>
  <si>
    <t>3.4(1), 3.5(1)(c )(ii)(a)</t>
  </si>
  <si>
    <t>2.4, 3.5(1)(c ), 3.5(1)(c )(ii), 4.1</t>
  </si>
  <si>
    <t>7(1)(c )</t>
  </si>
  <si>
    <t xml:space="preserve">7.2(1)(a) </t>
  </si>
  <si>
    <t>2.2(3)(a)</t>
  </si>
  <si>
    <t>5(b), 5(c), 5(d)</t>
  </si>
  <si>
    <t>3,10(1)(a)(i), 4.6(a),4.6(b), 4.15(1), 5.14(1)(a)</t>
  </si>
  <si>
    <t xml:space="preserve">5(b), </t>
  </si>
  <si>
    <t>3.1(2), 3.6.1(1), 3.11(1), 4.15(3), 4.6(a)</t>
  </si>
  <si>
    <t>3.6(1)(a)</t>
  </si>
  <si>
    <t>6.1(1), 6.1(2)</t>
  </si>
  <si>
    <t>12.9(13)a)(ii), 12.1(2), 6.3(1)(d)</t>
  </si>
  <si>
    <t xml:space="preserve">Part 7; Paragraphs 1.3.1(a), (c), (d), (e) and (g),
Part 7; Paragraph 4.1.1.1(g)
</t>
  </si>
  <si>
    <t>3.5(1) (b) (c)(ii)(A), (f) - 3.5(2)</t>
  </si>
  <si>
    <t>3.5(1)(f), 3.6.1(2)</t>
  </si>
  <si>
    <t>5.1.1(2), 5.14(1)(a)</t>
  </si>
  <si>
    <t>B620 Clause 7</t>
  </si>
  <si>
    <t>5.10(1)(a)(iv)</t>
  </si>
  <si>
    <t>B622 4.3</t>
  </si>
  <si>
    <t>ICAO 5;1.1 (a) &amp; (b)</t>
  </si>
  <si>
    <t>3.5(1)(c )(ii)(a)</t>
  </si>
  <si>
    <t>5(a)(c)(d)</t>
  </si>
  <si>
    <t>5.1.1, 5.10(1)(a),6.3(3)(a), 
3.5(1)(f), 3.6.1(1)</t>
  </si>
  <si>
    <t>3.2(4)</t>
  </si>
  <si>
    <t>2.2(1)</t>
  </si>
  <si>
    <t xml:space="preserve">CSA B622 </t>
  </si>
  <si>
    <t>B622</t>
  </si>
  <si>
    <t>5(a), (d)</t>
  </si>
  <si>
    <t>12.1(2) 12.9(1)(c)(iii) (13)(a)(ii)</t>
  </si>
  <si>
    <t>ICAO Part 7 Para 4.1</t>
  </si>
  <si>
    <t>5(a), (b), (c),</t>
  </si>
  <si>
    <t>3.5.1(d), 5.1.1(1), 6.3(1)(D)</t>
  </si>
  <si>
    <t>202021-131</t>
  </si>
  <si>
    <t>Nemco Ressources Ltd</t>
  </si>
  <si>
    <t>Z-4072-24-21-10032106280397</t>
  </si>
  <si>
    <t>Initial Email - 17411453</t>
  </si>
  <si>
    <t>202122-001</t>
  </si>
  <si>
    <t>Wisk-Air Limited</t>
  </si>
  <si>
    <t>Z-4072-23-21-30032104045141</t>
  </si>
  <si>
    <t>Initial Email - 17416456</t>
  </si>
  <si>
    <t>202122-002</t>
  </si>
  <si>
    <t>202122-003</t>
  </si>
  <si>
    <t>202122-004</t>
  </si>
  <si>
    <t>202122-005</t>
  </si>
  <si>
    <t>202122-006</t>
  </si>
  <si>
    <t>202122-007</t>
  </si>
  <si>
    <t>202122-008</t>
  </si>
  <si>
    <t>202122-009</t>
  </si>
  <si>
    <t>202122-010</t>
  </si>
  <si>
    <t>202122-011</t>
  </si>
  <si>
    <t>202122-012</t>
  </si>
  <si>
    <t>202122-013</t>
  </si>
  <si>
    <t>202122-014</t>
  </si>
  <si>
    <t>202122-015</t>
  </si>
  <si>
    <t>Tempeff (following BASF inspection)</t>
  </si>
  <si>
    <t>Initial Email - 17416801
Signed NDRNC - 17416777
Signed NDRNC sent to inspector - 17416750
NDRNC sent to company - 17417352
Enforcement action not in IIS - 17416830</t>
  </si>
  <si>
    <t>3.2(1)</t>
  </si>
  <si>
    <t>Z-4072-24-21-14042110505022</t>
  </si>
  <si>
    <t>Mullen Group Ltd - Gardwine</t>
  </si>
  <si>
    <t>Initial Email - 17446655
Follow Up with attached NOI -17446665
Revised NOI -17454303</t>
  </si>
  <si>
    <t>Shimono, Jane / Luffman Brittney</t>
  </si>
  <si>
    <t>Sparlings Propane a division of
Parkland Fuels</t>
  </si>
  <si>
    <t>Initial Email -17448104
String of Emails and NDRNC signed by Chief - 17448090
Revised NDRNC Signed by Chief 17449926
Sent to Site 17449940</t>
  </si>
  <si>
    <t>ICAO Part 5 2.4.10, 3.3, 4.2</t>
  </si>
  <si>
    <t>Continental Sports Inc</t>
  </si>
  <si>
    <t>Z-4072-24-23-06042112124794</t>
  </si>
  <si>
    <t>Original Email 17452511</t>
  </si>
  <si>
    <t>Wong, Alvin</t>
  </si>
  <si>
    <t>IMDG 3.3.1</t>
  </si>
  <si>
    <t>TDK Logistics</t>
  </si>
  <si>
    <t>Z-4072-25-23-19042109333806</t>
  </si>
  <si>
    <t>Initial E-mail - 17481208
Release Emial - 17505728
Request ref to TDGR in IIS - 17538163</t>
  </si>
  <si>
    <t>3.6.1(2), 3.6(1)(a), 3.5(1)(b), 6.3(1)(c ), 6.3(3)(a)</t>
  </si>
  <si>
    <t>Pembina Consumers Cooperative Ltd</t>
  </si>
  <si>
    <t>Z-4072-24-21-20032107595455</t>
  </si>
  <si>
    <t>Initial E-mail - 17482331
Corrected NOI - 17482332</t>
  </si>
  <si>
    <t>Division of Calsco Solvents Inc.</t>
  </si>
  <si>
    <t>Z-4072-23-21-23042108232710</t>
  </si>
  <si>
    <t>Initial E-mail - 17482335</t>
  </si>
  <si>
    <t>SHUKENBEITA DISTRIBUTION CORPORATION</t>
  </si>
  <si>
    <t>Initial Email - 17496270</t>
  </si>
  <si>
    <t>6.1(2), 11.1(1)(b), 11.1(2)(a)(iii)</t>
  </si>
  <si>
    <t>Fielding Chemical Technologies Inc.</t>
  </si>
  <si>
    <t>Z-4072-23-21-28042110234340</t>
  </si>
  <si>
    <t>Initial Email - 17498767</t>
  </si>
  <si>
    <t>3.5(1)(c) (ii), (iii), (v) &amp; (vi)</t>
  </si>
  <si>
    <t>ZOE INTERNATIONAL DISTRIBUTING INC dba HBI CANADA</t>
  </si>
  <si>
    <t xml:space="preserve"> Z-4072-25-21-26042102304877</t>
  </si>
  <si>
    <t>Initial Email - 17505928
Request for Correction 17505943
Correction 17508469</t>
  </si>
  <si>
    <t>Handrigan, John Paul</t>
  </si>
  <si>
    <t>L &amp; C Maintenance &amp; Repairs Ltd - Seat</t>
  </si>
  <si>
    <t>Z-4072-21-22-29042102035543</t>
  </si>
  <si>
    <t>Initial Email - 17540305
Forwarded Seat and NOI to Chief 17450326</t>
  </si>
  <si>
    <t>Zeljeznak, Peter</t>
  </si>
  <si>
    <t>3.5(1) (c), (d) and (f) - 6.3(3) (a)</t>
  </si>
  <si>
    <t>INLAND STEEL PRODUCTS INC</t>
  </si>
  <si>
    <t>Z-4072-24-21-11052108172082</t>
  </si>
  <si>
    <t>Initial Email - 17540524
Correction Request - 17540589
Corrected - 17541374</t>
  </si>
  <si>
    <t>GAGNON, Nathalie</t>
  </si>
  <si>
    <t>Shipment of UN 3342 in wooden IBC</t>
  </si>
  <si>
    <t>CGSB 43.146</t>
  </si>
  <si>
    <t>Form Submission - 17408437
Discussions with M.Phaneuf - 17413966
Translation by I.Crevier - 17413977
Answer - 17408288</t>
  </si>
  <si>
    <t>LEVINTON, Rod</t>
  </si>
  <si>
    <t>SEAT - Maxfield Inc - IIS 19199 - Facility 25-0829</t>
  </si>
  <si>
    <t>SEAT</t>
  </si>
  <si>
    <t>Engineering Services/Bonneau, Marc</t>
  </si>
  <si>
    <t>TC 350 tank - 
testing for leaks B620-87 5.10.7.1</t>
  </si>
  <si>
    <t>Email - 17414055</t>
  </si>
  <si>
    <t>Masters, Steve</t>
  </si>
  <si>
    <t>SEAT For MOC Inspection-MagGas Medical Inc</t>
  </si>
  <si>
    <t>Initial Email - 17420632
Forwarded to L.Belair and Engineering - 17420628</t>
  </si>
  <si>
    <t>Engineering Services/Evangelista, Sarah</t>
  </si>
  <si>
    <t>IBC Inspection and Testing</t>
  </si>
  <si>
    <t>Email - 17433783</t>
  </si>
  <si>
    <t/>
  </si>
  <si>
    <t xml:space="preserve">Engineering Services / Nida Chaudhary </t>
  </si>
  <si>
    <t>ISO Cylinders not approved by CDN or USA being offered in Canada by Walmart/Amazon</t>
  </si>
  <si>
    <t>String of Emails - 17438984
Forwarded to Group - 17438993
Forwarded to Ontario Region - 17446008
Response from ON Region - 17453838
Acknowledgement - 17453862</t>
  </si>
  <si>
    <t>Interpretation 12.5(1)(a)(ii)
Response to Solo Training
Contacts provided for PAC - TDG Directorate</t>
  </si>
  <si>
    <t>Initial Email - 17439025</t>
  </si>
  <si>
    <t>Undeclared - UK Royal Mail</t>
  </si>
  <si>
    <t>Email - 17439133</t>
  </si>
  <si>
    <t>Cooper Gary, Iacobellis Dom</t>
  </si>
  <si>
    <t>Compliance Issue 
 Kabba &amp; Amir Investment Inc 1852816</t>
  </si>
  <si>
    <t>Ric</t>
  </si>
  <si>
    <t>Original Email - 17443192
Forwarded to Chief - 17443204
Chief's Initial Response - 17445790
Response - 17445808
Region Response 17447191</t>
  </si>
  <si>
    <t>Cooper Gary, Grice Brent</t>
  </si>
  <si>
    <t xml:space="preserve">Continental Sports Inc
1793516 - 
Z-4072-24-23-06042112124794
Request for Guidance - Enforcement Action </t>
  </si>
  <si>
    <t>Original Email - 17443256
Forwarded to Chief - 17443260
Chief's Position - 17443918
Response - 17443931</t>
  </si>
  <si>
    <t>Natiuk, Trudy - McLean, Garth</t>
  </si>
  <si>
    <t>Electronic Shipping Document
Nutrien Requesting Hard Document</t>
  </si>
  <si>
    <t>Initial Email - 17443980
Response - 17445918
17449958</t>
  </si>
  <si>
    <t>Salzl, Carrie / Tchir, Maxine</t>
  </si>
  <si>
    <t xml:space="preserve">DG Awareness Training Requirement
702 Air Operators </t>
  </si>
  <si>
    <t>String of Emails 17446132 - 17446180</t>
  </si>
  <si>
    <t>Placards on a flatbed trailer</t>
  </si>
  <si>
    <t>Initial E-mail - 17450483
Response - 17450473</t>
  </si>
  <si>
    <t>Unloading UN1495 within a facility</t>
  </si>
  <si>
    <t>Initial E-mail - 17481013
Response - 17480997</t>
  </si>
  <si>
    <t>202122-016</t>
  </si>
  <si>
    <t>Engineering Services / Matthew</t>
  </si>
  <si>
    <t>NH3 Trailer to Trailer Transfers</t>
  </si>
  <si>
    <t>Response - 17482333</t>
  </si>
  <si>
    <t>202122-017</t>
  </si>
  <si>
    <t>Engineering Services /Matthew</t>
  </si>
  <si>
    <t>CSA B620 - Hose Testing/Inspection</t>
  </si>
  <si>
    <t>Response - 17482334</t>
  </si>
  <si>
    <t>202122-018</t>
  </si>
  <si>
    <t>Schedule 3 and Schedule 1 for UN3528</t>
  </si>
  <si>
    <t>Initial Email - 17483408
Response to Inspector - 17483402
Forwarded to Regularory Proposals - 17483369
Answer sent to inspector - 17499786</t>
  </si>
  <si>
    <t>202122-019</t>
  </si>
  <si>
    <t>Omar, Tahmina</t>
  </si>
  <si>
    <t>Canada Post April 1-22 DG report</t>
  </si>
  <si>
    <t>Initial Email - 17483480
Forwarded to regions - 17483471</t>
  </si>
  <si>
    <t>202122-020</t>
  </si>
  <si>
    <t>Hache, Denis</t>
  </si>
  <si>
    <t>Marking Orientation - PHMSA Interpretation</t>
  </si>
  <si>
    <t>Initial Email - 17494127
Answer - 17494116</t>
  </si>
  <si>
    <t>202122-021</t>
  </si>
  <si>
    <t>Parkland Corp.</t>
  </si>
  <si>
    <t>Training question from industry</t>
  </si>
  <si>
    <t>Forwarded - 17496819</t>
  </si>
  <si>
    <t>202122-022</t>
  </si>
  <si>
    <t>Canada Post April 23-29 DG report</t>
  </si>
  <si>
    <t>Initial Email - 17508099
Forwarded to Region - 17508106</t>
  </si>
  <si>
    <t>202122-023</t>
  </si>
  <si>
    <t>Training  Certificate - Aspects of Training</t>
  </si>
  <si>
    <t>Initial Email - 17516689
Response - 17516706
Reply -17517450</t>
  </si>
  <si>
    <t>202122-024</t>
  </si>
  <si>
    <t>MOC Inspeciton  - Dowler Karns 13314 - 26-9-1270</t>
  </si>
  <si>
    <t>Initial Email - 17522890
Forwarded - 17522897</t>
  </si>
  <si>
    <t>202122-025</t>
  </si>
  <si>
    <t>Canada Post April 30 - May 06 DG report</t>
  </si>
  <si>
    <t>Initial Email - 17532229
Forwarded - 17532240</t>
  </si>
  <si>
    <t>202122-026</t>
  </si>
  <si>
    <t>Walker, Dave</t>
  </si>
  <si>
    <t>Dodsley Fuels Ltd.
11230 - 4067-26-9-1308
Z-4072-23-22-11052102361377
SEAT</t>
  </si>
  <si>
    <t>Initial Email - 17540406
Forwaded to Chief and MOC - 17540430</t>
  </si>
  <si>
    <t>202122-027</t>
  </si>
  <si>
    <t xml:space="preserve"> Compagnie Parento Ltd - 11293
49 CFR Safety Marks - Reshipping in Canada per 9.4</t>
  </si>
  <si>
    <t>Initial Email - 17547023
Response - 17547028
Paul Reply - 17547061</t>
  </si>
  <si>
    <t>202122-028</t>
  </si>
  <si>
    <t>UK Civil Aviation Authority Forest, Emma</t>
  </si>
  <si>
    <t xml:space="preserve">Undeclared   
RODRIGUEZ JEAN LOIC
3815 DE MENTANA
H2L 3R7MONTREALQC
Canada 5145081444
DHL Express Aire
</t>
  </si>
  <si>
    <t>202122-029</t>
  </si>
  <si>
    <t xml:space="preserve">Management of Companies 
Remote Inspection
Initially are responsive but cease </t>
  </si>
  <si>
    <t>202122-030</t>
  </si>
  <si>
    <t>Shimono, Jane
Inspection Standards</t>
  </si>
  <si>
    <t>Aviation Document Review
Rejected
Reporting</t>
  </si>
  <si>
    <t>202122-031</t>
  </si>
  <si>
    <t>Canada Post May 7-13 DG report</t>
  </si>
  <si>
    <t>Initial Email - 17557776
Forwarded to Regions - 17557792</t>
  </si>
  <si>
    <t xml:space="preserve">Iacobelis, Dom </t>
  </si>
  <si>
    <t>202122-032</t>
  </si>
  <si>
    <t>UN3164 - Non Spec Actuators
Also sent to MOC for comment</t>
  </si>
  <si>
    <t>Initial Email from Inspection Standards - 17557681 and 7696
Consultation with Group - 17561895
Initial Response and Request for clarification - 17561909
Response - 17566507 - 
Additonal Info JS - 17566514
Additional Info JS - 17566805</t>
  </si>
  <si>
    <t>Initial Email - 17566539
Responded and Forwarded to MOC 17566557
Response from ES Travis McClean - 17569890</t>
  </si>
  <si>
    <t>202122-033</t>
  </si>
  <si>
    <t>Clarification of 24 hour number</t>
  </si>
  <si>
    <t>Initial Email - 17570776
Response - 17570795
Reminder of Procedure and Form - 17570811</t>
  </si>
  <si>
    <t>Initial Email 17551605
Forwarded to Chief - 17552838
Chief's Response - 17552846
Response to Region - 17552856
Additional Follow Up from Region - 17570823
Response - 17570827</t>
  </si>
  <si>
    <t>202122-034</t>
  </si>
  <si>
    <t>Canada Post May 14-20 DG report</t>
  </si>
  <si>
    <t>Initial Email - 17574185
Forwarded to Regions - 17574187</t>
  </si>
  <si>
    <t>202122-035</t>
  </si>
  <si>
    <t xml:space="preserve">SEAT
Intrans- Corp o/ Tankmaster
25-0137-16735
Z-4072-23-22-10052109411148 </t>
  </si>
  <si>
    <t>Cooper, Gary
George, Winston</t>
  </si>
  <si>
    <t>Initial Email - 17574253
Forwarded to Chief/MOC 17574256 - 4273</t>
  </si>
  <si>
    <t>7.1.2, 3.3(1), 3.5(1)(f)</t>
  </si>
  <si>
    <t>Young's Industrial Refrigeration Ltd</t>
  </si>
  <si>
    <t>Z-4072-21-21-10091908125804</t>
  </si>
  <si>
    <t>Initial Email -17574333</t>
  </si>
  <si>
    <t>Initial Email - 17547162
Forwarded to QC - 17547171 
Amended documentation - 17574652
Forwarded to QC - 17544662</t>
  </si>
  <si>
    <t>3.5(2)</t>
  </si>
  <si>
    <t>Z-4072-23-21-25052103453068</t>
  </si>
  <si>
    <t xml:space="preserve">Energy Tech Services (Kenora) Inc. </t>
  </si>
  <si>
    <t>Initial Email - 17580348</t>
  </si>
  <si>
    <t>202122-036</t>
  </si>
  <si>
    <t xml:space="preserve">202122-037 </t>
  </si>
  <si>
    <t>Driver, Paul</t>
  </si>
  <si>
    <t xml:space="preserve">Restrictions on Use of ERAP for residue </t>
  </si>
  <si>
    <t xml:space="preserve"> 
Initial Email - 17583914
Response - 17583929
</t>
  </si>
  <si>
    <t>Use of CANUTEC in compliance with 1.39 of the TDGR - Forwarded to NOMC</t>
  </si>
  <si>
    <t>7(1)(b)(c) 5(a)(b)(d)</t>
  </si>
  <si>
    <t xml:space="preserve">7.1(c) </t>
  </si>
  <si>
    <t>7.2(1)(d)</t>
  </si>
  <si>
    <t>Z-4072-25-21-27042111233847</t>
  </si>
  <si>
    <t>L.N.R. EXCAVATING LTD.</t>
  </si>
  <si>
    <t xml:space="preserve">Initial Email - 17585386 </t>
  </si>
  <si>
    <t>3.5(1) (c) (ii), (c) (ii) (A) and (f)</t>
  </si>
  <si>
    <t>AV Terrace Bay Inc.</t>
  </si>
  <si>
    <t>Z-4072-23-21-26052103445991</t>
  </si>
  <si>
    <t>Initial Email - 17585909
Request for Correction - 17585929
Correction - 17590141</t>
  </si>
  <si>
    <t>Ball Truck &amp; Auto repair, a Division of Dowler-Karn Limited</t>
  </si>
  <si>
    <t>Z-4072-23-22-27052102594349</t>
  </si>
  <si>
    <t>14860
25- 0257</t>
  </si>
  <si>
    <t>Initial Email - 17591586</t>
  </si>
  <si>
    <t xml:space="preserve">202122-038 </t>
  </si>
  <si>
    <t>SEAT - See also NOI 202122-019</t>
  </si>
  <si>
    <t>3.6.1(2), 6.1(2)</t>
  </si>
  <si>
    <t>Z-4072-23-21-28052110042485</t>
  </si>
  <si>
    <t>The Confederation College Of Applied Arts And Technology</t>
  </si>
  <si>
    <t>Initial Email - 17592437</t>
  </si>
  <si>
    <t>202122-039</t>
  </si>
  <si>
    <t>TCHIR, Maxine
SZAL, Carrie</t>
  </si>
  <si>
    <t>SEAT
Max Fuel Distributors Ltd. 
4067-26-9-1548 - 8953765
Z-4072-24-22-25052101380377</t>
  </si>
  <si>
    <t>202122-040</t>
  </si>
  <si>
    <t>MOC</t>
  </si>
  <si>
    <t>Non B620 Maintenance Highway Tank</t>
  </si>
  <si>
    <t>MOC Response Email - 17595234</t>
  </si>
  <si>
    <t>202122-041</t>
  </si>
  <si>
    <t>Canada Post May 21-27 DG report</t>
  </si>
  <si>
    <t>Initial Email 17595745
Forwarded to Regions - 17595757</t>
  </si>
  <si>
    <t xml:space="preserve">Initial Email - 17593585
Forwarded to Chief and MOC - 17593586
</t>
  </si>
  <si>
    <t>Initial Email - 17591586 (NOI - SEAT)
Forwarded to Chief and MOC 17591614
Additional info Gary Cooper - 17599010</t>
  </si>
  <si>
    <t>202122-042</t>
  </si>
  <si>
    <t>Daigle, Daniel</t>
  </si>
  <si>
    <t>Interpretation of 1.15 150 Kg Exemption</t>
  </si>
  <si>
    <t>Morgan Fuels Inc.</t>
  </si>
  <si>
    <t>Z-4072-23-21-01062103281819</t>
  </si>
  <si>
    <t>Initial Email 17603988</t>
  </si>
  <si>
    <t>Initial Email - 17600932 
Forwarded to Team - 17601168
Daigle/Ladouceur Response - 17604010
Whitton/Ladouceur Response - 17604020
Final Response - 17607966</t>
  </si>
  <si>
    <t>202122-043</t>
  </si>
  <si>
    <t>Paquette, Micheline
UK Royal Mail</t>
  </si>
  <si>
    <t>Undeclared Shipment Originating In BC to UK Reported by UK Royal Mail April 2021</t>
  </si>
  <si>
    <t>Initial Email - 17613965
Forwarded to BC Region -17613968</t>
  </si>
  <si>
    <t>202122-044</t>
  </si>
  <si>
    <t>Canada Post May 28 to June 3 DG report</t>
  </si>
  <si>
    <t>Initial Email - 17615081
Forwarded to Regions - 17615090</t>
  </si>
  <si>
    <t>CSAB621 - 4.1 - 8.3</t>
  </si>
  <si>
    <t>G &amp; N Towing</t>
  </si>
  <si>
    <t>Z-4072-25-21-07062107104625</t>
  </si>
  <si>
    <t>Initial Email - 17622850
Follow Up - 17622866</t>
  </si>
  <si>
    <t>CSAB621 - 4.1 - 8.2(b)</t>
  </si>
  <si>
    <t>PETROLE MONTMAGNY INC</t>
  </si>
  <si>
    <t>Z-4072-22-21-09062103285427</t>
  </si>
  <si>
    <t>Initial Email - 17626212</t>
  </si>
  <si>
    <t>2.43.1(1), 3.1(2), 4.1, 5.1.1(1), 11.1(1)</t>
  </si>
  <si>
    <t>5.1.1(3)</t>
  </si>
  <si>
    <t>202122-045</t>
  </si>
  <si>
    <t>On</t>
  </si>
  <si>
    <t>SEAT
The Great Bear Ltd.
1874530 -4067-26-9-1580 
Z-4072-23-22-10062101522376</t>
  </si>
  <si>
    <t>Initial Email - 17630744
Report - 17628844 
To Chief &amp; MOC -17630758</t>
  </si>
  <si>
    <t>Ultimate Home Comfort Incorporated</t>
  </si>
  <si>
    <t>Z-4072-21-21-10052111205889
Ticket 5137053 $1272.50
Court date 2021-07-16</t>
  </si>
  <si>
    <t>Historial Records 17540803
Initial Email - 17630954
Response - 17630971</t>
  </si>
  <si>
    <t>5.14(2)(b)</t>
  </si>
  <si>
    <t>B621</t>
  </si>
  <si>
    <t>FLYING COLOURS</t>
  </si>
  <si>
    <t>Z-4072-23-21-31052103485089</t>
  </si>
  <si>
    <t>Initial Email - 17532581
Action recommended 17632589</t>
  </si>
  <si>
    <t>Univar Canada Ltd. Origin NL Destination QC - Residue Portable Tank</t>
  </si>
  <si>
    <t>202122-046</t>
  </si>
  <si>
    <t>Canada Post June 4 to 10 DG report</t>
  </si>
  <si>
    <t>Initial Email - 17637830
Forwarded to Regions - 17637840</t>
  </si>
  <si>
    <t>Small Kenneth</t>
  </si>
  <si>
    <t>INV</t>
  </si>
  <si>
    <t>5(a) 5(b)</t>
  </si>
  <si>
    <t>Candice NEEPIN - Passenger Violation - Perimeter Flight 415 2021-05-11</t>
  </si>
  <si>
    <t>Z-4072-24-23-27052110034035</t>
  </si>
  <si>
    <t>Report 17596343
Initial Email - 17638095
Forwarded to Chief - 17638108</t>
  </si>
  <si>
    <t>202122-047</t>
  </si>
  <si>
    <t xml:space="preserve">String of Emails - 17638844 
Forwarded to Ontario Region - 17638852 
Response from ON Region  
 </t>
  </si>
  <si>
    <t>202122-048</t>
  </si>
  <si>
    <t>TDG Regulatory Question</t>
  </si>
  <si>
    <t>Portable Fuel Tanks - Not approved for use in Canada. Amazon</t>
  </si>
  <si>
    <t>String of Emails - 17639247
Forwarded to Chief - 17639258</t>
  </si>
  <si>
    <t>B625-20 6.1.2(e)</t>
  </si>
  <si>
    <t xml:space="preserve">5(b)(c) </t>
  </si>
  <si>
    <t xml:space="preserve">5.14  - 3.5(1)(c) </t>
  </si>
  <si>
    <t>NDRNC &amp; NOI</t>
  </si>
  <si>
    <t>202122-049</t>
  </si>
  <si>
    <t xml:space="preserve">Canada Post June 11 to 17 - DG report - No Undeclared shipments - </t>
  </si>
  <si>
    <r>
      <t xml:space="preserve">RDIMS References
</t>
    </r>
    <r>
      <rPr>
        <i/>
        <sz val="10"/>
        <rFont val="Arial"/>
        <family val="2"/>
      </rPr>
      <t>RDIMS Classification: Z 4050-19 U</t>
    </r>
  </si>
  <si>
    <t>Initial Email - 17662885</t>
  </si>
  <si>
    <t>Removal DN 17663507</t>
  </si>
  <si>
    <t>DN &amp; NOI</t>
  </si>
  <si>
    <t>11.2(a) (ii), 3.5(1), 3.6.1, 6.2</t>
  </si>
  <si>
    <t>Inlet Navigation 1985 Ltd.</t>
  </si>
  <si>
    <t>Z-4072-25-21-11062109193660</t>
  </si>
  <si>
    <t>Initial Email - 17663623</t>
  </si>
  <si>
    <t>202122-050</t>
  </si>
  <si>
    <t>202122-051</t>
  </si>
  <si>
    <t>Wally Chivers
Randy Decker</t>
  </si>
  <si>
    <t>Digital Storage Records
Request for Regulatory Clarification</t>
  </si>
  <si>
    <t>Initial Email - 17667036
Response - 17667045</t>
  </si>
  <si>
    <t>Specific Requirement 55 B620 inconsistencies between 20 and previous versions
Sent to TDG MOC and Copy to Enforcement</t>
  </si>
  <si>
    <t>Initial Email - 17666362
MOC Response 17671050</t>
  </si>
  <si>
    <t xml:space="preserve">202122-052 </t>
  </si>
  <si>
    <t>Silva, Greg</t>
  </si>
  <si>
    <t>Request for Regulatory Clarification 
6.3(3) Employer Signature Requirement</t>
  </si>
  <si>
    <t>Initial Email - 17673849
Response - 17673909
Reply 17674309</t>
  </si>
  <si>
    <t>202122-053</t>
  </si>
  <si>
    <t xml:space="preserve">SEAT
CONTAINER SERVICES A.R.M. LTD.
14503  - 4067 -33-84
Z-4072-23-22-21062101262266 </t>
  </si>
  <si>
    <t>Initial Email - 17674464
Forwarded - 17674479</t>
  </si>
  <si>
    <t>Initial Email - 17426418
Corrections requested in IIS - 17426416/17426494
DN Release - 17682096</t>
  </si>
  <si>
    <t>Initial Email - 17581007
Forwarded to team for Comment - 17581015
Forwarded to NOMC 17584047 - 4648
Additional Question Regulatory Questions - 17597619
Email from CANUTEC Nathalie Sempel - 17598952
Response to CANUTEC -17598965
Final Response - 17608187
Ray Desjardin Request for Q&amp;A - 17609332
Referral to Emily Feely - 17609367
Response Semple - 17610589
Responses Emily Feeley - 17611171 - 3151
Additional Correspondence - 17662825
Response - 17663694
Feeley Response 17666316
Ghostine CANUTEC Response 17666331
Additional Inquiry from ATL Randy Decker - 17669415
Response to ATL - 17669422
Request for distribution of Clarification of 1.39 by Safety Awareness Emily Feeley - 17669476
Response Feeley - 17669531
Additional CANUTEC to Regulatory and Enforcement 17683191
Regulatory Response 17683200
Enforcement Response 17683212</t>
  </si>
  <si>
    <t>202122-054</t>
  </si>
  <si>
    <t>Chung, William
Lindsay, Heather</t>
  </si>
  <si>
    <t xml:space="preserve">CVSA  - Out of Service Criteria
Part 1 Driver 2 b. Endorsement for Canadian Drivers - Include the Class of HM/DG the driver is tranporting </t>
  </si>
  <si>
    <t>Initial Email 17693642
Response - 17693898</t>
  </si>
  <si>
    <t>2021-06-16
2021-07-06</t>
  </si>
  <si>
    <t>Initial Email - 17641230
Forwarded to Chief - 17641242
Received from Chief - 17641329
Forwarded to Inspector - 17641336
Sent to Company - 17641719
Additional - 17663731 
Re-Issued NOI and SEAT - 17697511 
Forwarded to Chief - 17697530
Returned by Chief signed - 17697556
Forwarded to Inspector - 17697568</t>
  </si>
  <si>
    <t>File Number</t>
  </si>
  <si>
    <t>Issued By</t>
  </si>
  <si>
    <t>Date Received</t>
  </si>
  <si>
    <t>Date Action Taken</t>
  </si>
  <si>
    <t>Total Fine Charged</t>
  </si>
  <si>
    <t>Offender Name</t>
  </si>
  <si>
    <t>RDIMS References</t>
  </si>
  <si>
    <t>Logged by</t>
  </si>
  <si>
    <t>Date Posted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</si>
</sst>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Arial"/>
      <family val="2"/>
    </font>
    <font>
      <b/>
      <sz val="11"/>
      <color theme="1"/>
      <name val="Arial"/>
      <family val="2"/>
    </font>
    <font>
      <i/>
      <sz val="10"/>
      <color theme="1"/>
      <name val="Arial"/>
      <family val="2"/>
    </font>
    <font>
      <b/>
      <i/>
      <sz val="9"/>
      <color theme="1"/>
      <name val="Arial"/>
      <family val="2"/>
    </font>
    <font>
      <b/>
      <sz val="10"/>
      <color theme="1"/>
      <name val="Arial"/>
      <family val="2"/>
    </font>
    <font>
      <sz val="10"/>
      <color theme="1"/>
      <name val="Arial"/>
      <family val="2"/>
    </font>
    <font>
      <b/>
      <sz val="10"/>
      <color rgb="FFFF0000"/>
      <name val="Arial"/>
      <family val="2"/>
    </font>
    <font>
      <sz val="14"/>
      <color theme="1"/>
      <name val="Arial"/>
      <family val="2"/>
    </font>
    <font>
      <sz val="9"/>
      <color theme="1"/>
      <name val="Arial"/>
      <family val="2"/>
    </font>
    <font>
      <sz val="11"/>
      <name val="Calibri"/>
      <family val="2"/>
      <scheme val="minor"/>
    </font>
    <font>
      <sz val="10"/>
      <name val="Arial"/>
      <family val="2"/>
    </font>
    <font>
      <b/>
      <sz val="10"/>
      <name val="Arial"/>
      <family val="2"/>
    </font>
    <font>
      <i/>
      <sz val="10"/>
      <name val="Arial"/>
      <family val="2"/>
    </font>
  </fonts>
  <fills count="8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E5BBF1"/>
        <bgColor indexed="64"/>
      </patternFill>
    </fill>
    <fill>
      <patternFill patternType="solid">
        <fgColor rgb="FF8AE0EE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FFFF00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98">
    <xf numFmtId="0" fontId="0" fillId="0" borderId="0" xfId="0"/>
    <xf numFmtId="0" fontId="1" fillId="0" borderId="0" xfId="0" applyFont="1"/>
    <xf numFmtId="0" fontId="0" fillId="4" borderId="0" xfId="0" applyFill="1"/>
    <xf numFmtId="0" fontId="0" fillId="5" borderId="0" xfId="0" applyFill="1"/>
    <xf numFmtId="0" fontId="0" fillId="3" borderId="0" xfId="0" applyFill="1"/>
    <xf numFmtId="0" fontId="2" fillId="0" borderId="0" xfId="0" applyFont="1" applyProtection="1">
      <protection locked="0"/>
    </xf>
    <xf numFmtId="0" fontId="3" fillId="6" borderId="0" xfId="0" applyFont="1" applyFill="1" applyAlignment="1" applyProtection="1">
      <alignment horizontal="right"/>
      <protection locked="0"/>
    </xf>
    <xf numFmtId="0" fontId="2" fillId="6" borderId="2" xfId="0" applyFont="1" applyFill="1" applyBorder="1" applyAlignment="1" applyProtection="1">
      <alignment horizontal="center"/>
      <protection locked="0"/>
    </xf>
    <xf numFmtId="0" fontId="2" fillId="6" borderId="2" xfId="0" applyFont="1" applyFill="1" applyBorder="1" applyAlignment="1" applyProtection="1">
      <alignment horizontal="right"/>
      <protection locked="0"/>
    </xf>
    <xf numFmtId="14" fontId="2" fillId="6" borderId="2" xfId="0" applyNumberFormat="1" applyFont="1" applyFill="1" applyBorder="1" applyProtection="1">
      <protection locked="0"/>
    </xf>
    <xf numFmtId="0" fontId="2" fillId="6" borderId="2" xfId="0" applyFont="1" applyFill="1" applyBorder="1" applyProtection="1">
      <protection locked="0"/>
    </xf>
    <xf numFmtId="0" fontId="2" fillId="6" borderId="0" xfId="0" applyFont="1" applyFill="1" applyProtection="1">
      <protection locked="0"/>
    </xf>
    <xf numFmtId="0" fontId="3" fillId="0" borderId="0" xfId="0" applyFont="1" applyAlignment="1" applyProtection="1">
      <alignment horizontal="right"/>
      <protection locked="0"/>
    </xf>
    <xf numFmtId="0" fontId="2" fillId="0" borderId="2" xfId="0" applyFont="1" applyBorder="1" applyAlignment="1" applyProtection="1">
      <alignment horizontal="center"/>
      <protection locked="0"/>
    </xf>
    <xf numFmtId="0" fontId="2" fillId="0" borderId="2" xfId="0" applyFont="1" applyBorder="1" applyAlignment="1" applyProtection="1">
      <alignment horizontal="right"/>
      <protection locked="0"/>
    </xf>
    <xf numFmtId="0" fontId="2" fillId="0" borderId="2" xfId="0" applyFont="1" applyBorder="1" applyProtection="1">
      <protection locked="0"/>
    </xf>
    <xf numFmtId="14" fontId="2" fillId="0" borderId="2" xfId="0" applyNumberFormat="1" applyFont="1" applyBorder="1" applyProtection="1">
      <protection locked="0"/>
    </xf>
    <xf numFmtId="0" fontId="2" fillId="0" borderId="2" xfId="0" applyFont="1" applyFill="1" applyBorder="1" applyAlignment="1" applyProtection="1">
      <alignment horizontal="center"/>
      <protection locked="0"/>
    </xf>
    <xf numFmtId="0" fontId="2" fillId="6" borderId="2" xfId="0" applyFont="1" applyFill="1" applyBorder="1" applyAlignment="1" applyProtection="1">
      <alignment horizontal="center"/>
    </xf>
    <xf numFmtId="0" fontId="2" fillId="0" borderId="2" xfId="0" applyFont="1" applyBorder="1" applyAlignment="1" applyProtection="1">
      <alignment horizontal="center"/>
    </xf>
    <xf numFmtId="0" fontId="2" fillId="6" borderId="2" xfId="0" applyFont="1" applyFill="1" applyBorder="1" applyAlignment="1" applyProtection="1">
      <alignment horizontal="left"/>
      <protection locked="0"/>
    </xf>
    <xf numFmtId="0" fontId="2" fillId="0" borderId="2" xfId="0" applyFont="1" applyBorder="1" applyAlignment="1" applyProtection="1">
      <alignment horizontal="left"/>
      <protection locked="0"/>
    </xf>
    <xf numFmtId="0" fontId="5" fillId="2" borderId="0" xfId="0" applyFont="1" applyFill="1" applyBorder="1" applyAlignment="1" applyProtection="1">
      <alignment horizontal="center" vertical="center" wrapText="1"/>
      <protection locked="0"/>
    </xf>
    <xf numFmtId="0" fontId="5" fillId="2" borderId="2" xfId="0" applyFont="1" applyFill="1" applyBorder="1" applyAlignment="1" applyProtection="1">
      <alignment horizontal="center" vertical="center"/>
      <protection locked="0"/>
    </xf>
    <xf numFmtId="0" fontId="5" fillId="2" borderId="2" xfId="0" applyFont="1" applyFill="1" applyBorder="1" applyAlignment="1" applyProtection="1">
      <alignment horizontal="center" vertical="center" wrapText="1"/>
      <protection locked="0"/>
    </xf>
    <xf numFmtId="14" fontId="5" fillId="2" borderId="2" xfId="0" applyNumberFormat="1" applyFont="1" applyFill="1" applyBorder="1" applyAlignment="1" applyProtection="1">
      <alignment horizontal="center" vertical="center" wrapText="1"/>
      <protection locked="0"/>
    </xf>
    <xf numFmtId="0" fontId="5" fillId="2" borderId="2" xfId="0" applyFont="1" applyFill="1" applyBorder="1" applyAlignment="1" applyProtection="1">
      <alignment horizontal="left" vertical="center" wrapText="1"/>
      <protection locked="0"/>
    </xf>
    <xf numFmtId="0" fontId="5" fillId="0" borderId="0" xfId="0" applyFont="1" applyFill="1" applyBorder="1" applyAlignment="1" applyProtection="1">
      <alignment horizontal="center"/>
      <protection locked="0"/>
    </xf>
    <xf numFmtId="0" fontId="7" fillId="0" borderId="0" xfId="0" applyFont="1" applyAlignment="1">
      <alignment horizontal="left"/>
    </xf>
    <xf numFmtId="0" fontId="6" fillId="2" borderId="0" xfId="0" applyFont="1" applyFill="1" applyBorder="1" applyAlignment="1">
      <alignment horizontal="center" vertical="center"/>
    </xf>
    <xf numFmtId="0" fontId="6" fillId="2" borderId="0" xfId="0" applyFont="1" applyFill="1" applyAlignment="1">
      <alignment horizontal="center" vertical="center"/>
    </xf>
    <xf numFmtId="0" fontId="7" fillId="3" borderId="0" xfId="0" applyFont="1" applyFill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7" fillId="0" borderId="0" xfId="0" applyFont="1" applyAlignment="1">
      <alignment horizontal="right"/>
    </xf>
    <xf numFmtId="0" fontId="7" fillId="0" borderId="0" xfId="0" applyFont="1" applyAlignment="1">
      <alignment horizontal="right" wrapText="1"/>
    </xf>
    <xf numFmtId="0" fontId="2" fillId="0" borderId="2" xfId="0" applyFont="1" applyBorder="1" applyAlignment="1" applyProtection="1">
      <alignment wrapText="1"/>
      <protection locked="0"/>
    </xf>
    <xf numFmtId="0" fontId="2" fillId="6" borderId="2" xfId="0" applyFont="1" applyFill="1" applyBorder="1" applyAlignment="1" applyProtection="1">
      <alignment wrapText="1"/>
      <protection locked="0"/>
    </xf>
    <xf numFmtId="0" fontId="5" fillId="6" borderId="2" xfId="0" applyFont="1" applyFill="1" applyBorder="1" applyAlignment="1" applyProtection="1">
      <alignment horizontal="left" wrapText="1"/>
      <protection locked="0"/>
    </xf>
    <xf numFmtId="0" fontId="2" fillId="0" borderId="2" xfId="0" applyFont="1" applyBorder="1" applyAlignment="1" applyProtection="1">
      <alignment horizontal="left" wrapText="1"/>
      <protection locked="0"/>
    </xf>
    <xf numFmtId="0" fontId="2" fillId="6" borderId="2" xfId="0" applyFont="1" applyFill="1" applyBorder="1" applyAlignment="1" applyProtection="1">
      <alignment horizontal="left" wrapText="1"/>
      <protection locked="0"/>
    </xf>
    <xf numFmtId="0" fontId="3" fillId="7" borderId="0" xfId="0" applyFont="1" applyFill="1" applyAlignment="1" applyProtection="1">
      <alignment horizontal="right"/>
      <protection locked="0"/>
    </xf>
    <xf numFmtId="0" fontId="2" fillId="7" borderId="2" xfId="0" applyFont="1" applyFill="1" applyBorder="1" applyAlignment="1" applyProtection="1">
      <alignment horizontal="center"/>
    </xf>
    <xf numFmtId="0" fontId="2" fillId="7" borderId="2" xfId="0" applyFont="1" applyFill="1" applyBorder="1" applyAlignment="1" applyProtection="1">
      <alignment horizontal="center"/>
      <protection locked="0"/>
    </xf>
    <xf numFmtId="0" fontId="2" fillId="7" borderId="2" xfId="0" applyFont="1" applyFill="1" applyBorder="1" applyAlignment="1" applyProtection="1">
      <alignment horizontal="right"/>
      <protection locked="0"/>
    </xf>
    <xf numFmtId="14" fontId="2" fillId="7" borderId="2" xfId="0" applyNumberFormat="1" applyFont="1" applyFill="1" applyBorder="1" applyProtection="1">
      <protection locked="0"/>
    </xf>
    <xf numFmtId="0" fontId="2" fillId="7" borderId="2" xfId="0" applyFont="1" applyFill="1" applyBorder="1" applyProtection="1">
      <protection locked="0"/>
    </xf>
    <xf numFmtId="0" fontId="2" fillId="7" borderId="2" xfId="0" applyFont="1" applyFill="1" applyBorder="1" applyAlignment="1" applyProtection="1">
      <alignment wrapText="1"/>
      <protection locked="0"/>
    </xf>
    <xf numFmtId="0" fontId="2" fillId="7" borderId="2" xfId="0" applyFont="1" applyFill="1" applyBorder="1" applyAlignment="1" applyProtection="1">
      <alignment horizontal="left" wrapText="1"/>
      <protection locked="0"/>
    </xf>
    <xf numFmtId="0" fontId="2" fillId="7" borderId="0" xfId="0" applyFont="1" applyFill="1" applyProtection="1">
      <protection locked="0"/>
    </xf>
    <xf numFmtId="0" fontId="2" fillId="7" borderId="2" xfId="0" applyFont="1" applyFill="1" applyBorder="1" applyAlignment="1" applyProtection="1">
      <alignment horizontal="left"/>
      <protection locked="0"/>
    </xf>
    <xf numFmtId="0" fontId="2" fillId="6" borderId="2" xfId="0" applyFont="1" applyFill="1" applyBorder="1" applyAlignment="1" applyProtection="1">
      <alignment horizontal="right" wrapText="1"/>
      <protection locked="0"/>
    </xf>
    <xf numFmtId="0" fontId="2" fillId="0" borderId="2" xfId="0" applyFont="1" applyBorder="1" applyAlignment="1" applyProtection="1">
      <alignment horizontal="right" wrapText="1"/>
      <protection locked="0"/>
    </xf>
    <xf numFmtId="0" fontId="2" fillId="7" borderId="2" xfId="0" applyFont="1" applyFill="1" applyBorder="1" applyAlignment="1" applyProtection="1">
      <alignment horizontal="right" wrapText="1"/>
      <protection locked="0"/>
    </xf>
    <xf numFmtId="0" fontId="2" fillId="0" borderId="2" xfId="0" applyFont="1" applyBorder="1" applyAlignment="1" applyProtection="1">
      <protection locked="0"/>
    </xf>
    <xf numFmtId="0" fontId="2" fillId="0" borderId="0" xfId="0" applyFont="1" applyAlignment="1">
      <alignment vertical="center"/>
    </xf>
    <xf numFmtId="0" fontId="2" fillId="0" borderId="0" xfId="0" applyFont="1"/>
    <xf numFmtId="0" fontId="6" fillId="3" borderId="6" xfId="0" applyFont="1" applyFill="1" applyBorder="1" applyAlignment="1" applyProtection="1">
      <alignment horizontal="left"/>
      <protection locked="0"/>
    </xf>
    <xf numFmtId="0" fontId="6" fillId="2" borderId="6" xfId="0" applyFont="1" applyFill="1" applyBorder="1" applyAlignment="1" applyProtection="1">
      <alignment horizontal="center" vertical="center" wrapText="1"/>
      <protection locked="0"/>
    </xf>
    <xf numFmtId="14" fontId="6" fillId="2" borderId="6" xfId="0" applyNumberFormat="1" applyFont="1" applyFill="1" applyBorder="1" applyAlignment="1" applyProtection="1">
      <alignment horizontal="center" vertical="center" wrapText="1"/>
      <protection locked="0"/>
    </xf>
    <xf numFmtId="0" fontId="7" fillId="3" borderId="6" xfId="0" applyFont="1" applyFill="1" applyBorder="1" applyAlignment="1" applyProtection="1">
      <alignment horizontal="center" vertical="center" wrapText="1"/>
    </xf>
    <xf numFmtId="0" fontId="7" fillId="3" borderId="6" xfId="0" applyFont="1" applyFill="1" applyBorder="1" applyAlignment="1" applyProtection="1">
      <alignment horizontal="center" vertical="center" wrapText="1"/>
      <protection locked="0"/>
    </xf>
    <xf numFmtId="14" fontId="7" fillId="3" borderId="6" xfId="0" applyNumberFormat="1" applyFont="1" applyFill="1" applyBorder="1" applyAlignment="1" applyProtection="1">
      <alignment horizontal="center" vertical="center"/>
      <protection locked="0"/>
    </xf>
    <xf numFmtId="14" fontId="7" fillId="3" borderId="6" xfId="0" applyNumberFormat="1" applyFont="1" applyFill="1" applyBorder="1" applyAlignment="1" applyProtection="1">
      <alignment horizontal="center" vertical="center" wrapText="1"/>
      <protection locked="0"/>
    </xf>
    <xf numFmtId="0" fontId="7" fillId="0" borderId="6" xfId="0" applyFont="1" applyFill="1" applyBorder="1" applyAlignment="1" applyProtection="1">
      <alignment horizontal="center" vertical="center" wrapText="1"/>
    </xf>
    <xf numFmtId="0" fontId="7" fillId="0" borderId="6" xfId="0" applyFont="1" applyBorder="1" applyAlignment="1" applyProtection="1">
      <alignment horizontal="center" vertical="center" wrapText="1"/>
      <protection locked="0"/>
    </xf>
    <xf numFmtId="0" fontId="7" fillId="0" borderId="6" xfId="0" applyFont="1" applyBorder="1" applyAlignment="1" applyProtection="1">
      <alignment horizontal="center" vertical="center"/>
      <protection locked="0"/>
    </xf>
    <xf numFmtId="14" fontId="7" fillId="0" borderId="6" xfId="0" applyNumberFormat="1" applyFont="1" applyBorder="1" applyAlignment="1" applyProtection="1">
      <alignment horizontal="center" vertical="center"/>
      <protection locked="0"/>
    </xf>
    <xf numFmtId="0" fontId="7" fillId="3" borderId="6" xfId="0" applyFont="1" applyFill="1" applyBorder="1" applyAlignment="1" applyProtection="1">
      <alignment horizontal="center" vertical="center"/>
      <protection locked="0"/>
    </xf>
    <xf numFmtId="0" fontId="11" fillId="0" borderId="6" xfId="0" applyFont="1" applyBorder="1" applyAlignment="1">
      <alignment vertical="center" wrapText="1"/>
    </xf>
    <xf numFmtId="0" fontId="0" fillId="0" borderId="6" xfId="0" applyFont="1" applyBorder="1" applyAlignment="1">
      <alignment horizontal="center" vertical="center" wrapText="1"/>
    </xf>
    <xf numFmtId="0" fontId="0" fillId="0" borderId="6" xfId="0" applyBorder="1" applyAlignment="1">
      <alignment wrapText="1"/>
    </xf>
    <xf numFmtId="0" fontId="6" fillId="0" borderId="6" xfId="0" applyFont="1" applyBorder="1" applyAlignment="1">
      <alignment horizontal="right"/>
    </xf>
    <xf numFmtId="0" fontId="7" fillId="0" borderId="6" xfId="0" applyFont="1" applyBorder="1" applyAlignment="1">
      <alignment horizontal="right"/>
    </xf>
    <xf numFmtId="0" fontId="7" fillId="0" borderId="6" xfId="0" applyFont="1" applyBorder="1" applyAlignment="1">
      <alignment horizontal="right" wrapText="1"/>
    </xf>
    <xf numFmtId="14" fontId="7" fillId="0" borderId="6" xfId="0" applyNumberFormat="1" applyFont="1" applyBorder="1" applyAlignment="1">
      <alignment horizontal="right"/>
    </xf>
    <xf numFmtId="0" fontId="7" fillId="0" borderId="6" xfId="0" applyFont="1" applyBorder="1" applyAlignment="1">
      <alignment horizontal="center"/>
    </xf>
    <xf numFmtId="0" fontId="7" fillId="3" borderId="6" xfId="0" applyFont="1" applyFill="1" applyBorder="1" applyAlignment="1" applyProtection="1">
      <alignment horizontal="right" vertical="center"/>
      <protection locked="0"/>
    </xf>
    <xf numFmtId="0" fontId="7" fillId="3" borderId="6" xfId="0" applyFont="1" applyFill="1" applyBorder="1" applyAlignment="1" applyProtection="1">
      <alignment horizontal="right" vertical="center" wrapText="1"/>
      <protection locked="0"/>
    </xf>
    <xf numFmtId="14" fontId="7" fillId="3" borderId="6" xfId="0" applyNumberFormat="1" applyFont="1" applyFill="1" applyBorder="1" applyAlignment="1" applyProtection="1">
      <alignment horizontal="right" vertical="center"/>
      <protection locked="0"/>
    </xf>
    <xf numFmtId="0" fontId="12" fillId="0" borderId="6" xfId="0" applyFont="1" applyBorder="1" applyAlignment="1">
      <alignment vertical="center" wrapText="1"/>
    </xf>
    <xf numFmtId="0" fontId="13" fillId="2" borderId="6" xfId="0" applyFont="1" applyFill="1" applyBorder="1" applyAlignment="1" applyProtection="1">
      <alignment horizontal="center" vertical="center" wrapText="1"/>
      <protection locked="0"/>
    </xf>
    <xf numFmtId="3" fontId="12" fillId="3" borderId="6" xfId="0" applyNumberFormat="1" applyFont="1" applyFill="1" applyBorder="1" applyAlignment="1" applyProtection="1">
      <alignment horizontal="left" vertical="center" wrapText="1"/>
      <protection locked="0"/>
    </xf>
    <xf numFmtId="0" fontId="12" fillId="0" borderId="6" xfId="0" applyFont="1" applyBorder="1" applyAlignment="1" applyProtection="1">
      <alignment horizontal="left" vertical="center" wrapText="1"/>
      <protection locked="0"/>
    </xf>
    <xf numFmtId="0" fontId="12" fillId="3" borderId="6" xfId="0" applyFont="1" applyFill="1" applyBorder="1" applyAlignment="1" applyProtection="1">
      <alignment horizontal="left" vertical="center" wrapText="1"/>
      <protection locked="0"/>
    </xf>
    <xf numFmtId="0" fontId="12" fillId="0" borderId="6" xfId="0" applyFont="1" applyBorder="1" applyAlignment="1">
      <alignment horizontal="left" vertical="top" wrapText="1"/>
    </xf>
    <xf numFmtId="0" fontId="12" fillId="0" borderId="6" xfId="0" applyFont="1" applyBorder="1" applyAlignment="1">
      <alignment vertical="center"/>
    </xf>
    <xf numFmtId="0" fontId="6" fillId="2" borderId="6" xfId="0" applyFont="1" applyFill="1" applyBorder="1" applyAlignment="1" applyProtection="1">
      <alignment horizontal="right" vertical="center" wrapText="1"/>
      <protection locked="0"/>
    </xf>
    <xf numFmtId="0" fontId="6" fillId="3" borderId="6" xfId="0" applyFont="1" applyFill="1" applyBorder="1" applyAlignment="1" applyProtection="1">
      <alignment horizontal="right" vertical="center" wrapText="1"/>
      <protection locked="0"/>
    </xf>
    <xf numFmtId="0" fontId="6" fillId="0" borderId="6" xfId="0" applyFont="1" applyBorder="1" applyAlignment="1" applyProtection="1">
      <alignment horizontal="right" vertical="center"/>
      <protection locked="0"/>
    </xf>
    <xf numFmtId="0" fontId="3" fillId="2" borderId="4" xfId="0" applyFont="1" applyFill="1" applyBorder="1" applyAlignment="1" applyProtection="1">
      <alignment horizontal="center" vertical="center" wrapText="1"/>
      <protection locked="0"/>
    </xf>
    <xf numFmtId="0" fontId="3" fillId="2" borderId="2" xfId="0" applyFont="1" applyFill="1" applyBorder="1" applyAlignment="1" applyProtection="1">
      <alignment horizontal="center" vertical="center" wrapText="1"/>
      <protection locked="0"/>
    </xf>
    <xf numFmtId="0" fontId="3" fillId="2" borderId="3" xfId="0" applyFont="1" applyFill="1" applyBorder="1" applyAlignment="1" applyProtection="1">
      <alignment horizontal="center" vertical="center" wrapText="1"/>
      <protection locked="0"/>
    </xf>
    <xf numFmtId="0" fontId="3" fillId="2" borderId="1" xfId="0" applyFont="1" applyFill="1" applyBorder="1" applyAlignment="1" applyProtection="1">
      <alignment horizontal="center" vertical="center" wrapText="1"/>
      <protection locked="0"/>
    </xf>
    <xf numFmtId="0" fontId="3" fillId="2" borderId="5" xfId="0" applyFont="1" applyFill="1" applyBorder="1" applyAlignment="1" applyProtection="1">
      <alignment horizontal="center" vertical="center" wrapText="1"/>
      <protection locked="0"/>
    </xf>
    <xf numFmtId="0" fontId="3" fillId="2" borderId="4" xfId="0" applyFont="1" applyFill="1" applyBorder="1" applyAlignment="1" applyProtection="1">
      <alignment horizontal="center" vertical="center"/>
      <protection locked="0"/>
    </xf>
    <xf numFmtId="14" fontId="2" fillId="6" borderId="2" xfId="0" applyNumberFormat="1" applyFont="1" applyFill="1" applyBorder="1" applyAlignment="1" applyProtection="1">
      <alignment wrapText="1"/>
      <protection locked="0"/>
    </xf>
    <xf numFmtId="0" fontId="6" fillId="2" borderId="6" xfId="0" applyFont="1" applyFill="1" applyBorder="1" applyAlignment="1" applyProtection="1">
      <alignment horizontal="center"/>
      <protection locked="0"/>
    </xf>
    <xf numFmtId="0" fontId="6" fillId="2" borderId="6" xfId="0" applyFont="1" applyFill="1" applyBorder="1" applyAlignment="1" applyProtection="1">
      <alignment horizontal="left"/>
      <protection locked="0"/>
    </xf>
  </cellXfs>
  <cellStyles count="1">
    <cellStyle name="Normal" xfId="0" builtinId="0"/>
  </cellStyles>
  <dxfs count="28">
    <dxf>
      <fill>
        <patternFill>
          <bgColor rgb="FFFFC000"/>
        </patternFill>
      </fill>
    </dxf>
    <dxf>
      <fill>
        <patternFill>
          <bgColor rgb="FFFFFF00"/>
        </patternFill>
      </fill>
    </dxf>
    <dxf>
      <font>
        <color auto="1"/>
      </font>
      <fill>
        <patternFill>
          <bgColor rgb="FFFF0000"/>
        </patternFill>
      </fill>
    </dxf>
    <dxf>
      <font>
        <b/>
        <i val="0"/>
      </font>
      <fill>
        <patternFill>
          <bgColor theme="9" tint="0.59996337778862885"/>
        </patternFill>
      </fill>
    </dxf>
    <dxf>
      <font>
        <b/>
        <i val="0"/>
      </font>
      <fill>
        <patternFill>
          <bgColor theme="7" tint="0.59996337778862885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ill>
        <patternFill>
          <bgColor rgb="FFE5BBF1"/>
        </patternFill>
      </fill>
    </dxf>
    <dxf>
      <font>
        <b val="0"/>
        <i val="0"/>
        <color theme="1"/>
      </font>
      <fill>
        <patternFill>
          <bgColor theme="0"/>
        </patternFill>
      </fill>
    </dxf>
    <dxf>
      <fill>
        <patternFill>
          <bgColor rgb="FF6EF28D"/>
        </patternFill>
      </fill>
    </dxf>
    <dxf>
      <fill>
        <patternFill>
          <bgColor rgb="FF8AE0E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fill>
        <patternFill patternType="solid">
          <fgColor indexed="64"/>
          <bgColor theme="9" tint="0.39997558519241921"/>
        </patternFill>
      </fill>
      <border diagonalUp="0" diagonalDown="0">
        <left style="thin">
          <color indexed="64"/>
        </left>
        <right/>
        <top/>
        <bottom/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fill>
        <patternFill patternType="solid">
          <fgColor indexed="64"/>
          <bgColor theme="9" tint="0.39997558519241921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/>
        <top/>
        <bottom/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fill>
        <patternFill patternType="solid">
          <fgColor indexed="64"/>
          <bgColor theme="9" tint="0.39997558519241921"/>
        </patternFill>
      </fill>
      <border diagonalUp="0" diagonalDown="0">
        <left style="thin">
          <color indexed="64"/>
        </left>
        <right/>
        <top/>
        <bottom/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fill>
        <patternFill patternType="solid">
          <fgColor indexed="64"/>
          <bgColor theme="9" tint="0.39997558519241921"/>
        </patternFill>
      </fill>
      <border diagonalUp="0" diagonalDown="0">
        <left style="thin">
          <color indexed="64"/>
        </left>
        <right/>
        <top/>
        <bottom/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fill>
        <patternFill patternType="solid">
          <fgColor indexed="64"/>
          <bgColor theme="9" tint="0.39997558519241921"/>
        </patternFill>
      </fill>
      <border diagonalUp="0" diagonalDown="0">
        <left style="thin">
          <color indexed="64"/>
        </left>
        <right/>
        <top/>
        <bottom/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fill>
        <patternFill patternType="solid">
          <fgColor indexed="64"/>
          <bgColor theme="9" tint="0.39997558519241921"/>
        </patternFill>
      </fill>
      <alignment horizontal="general" vertical="bottom" textRotation="0" wrapText="1" indent="0" justifyLastLine="0" shrinkToFit="0" readingOrder="0"/>
      <border diagonalUp="0" diagonalDown="0">
        <left style="thin">
          <color indexed="64"/>
        </left>
        <right/>
        <top/>
        <bottom/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fill>
        <patternFill patternType="solid">
          <fgColor indexed="64"/>
          <bgColor theme="9" tint="0.39997558519241921"/>
        </patternFill>
      </fill>
      <border diagonalUp="0" diagonalDown="0">
        <left style="thin">
          <color indexed="64"/>
        </left>
        <right/>
        <top/>
        <bottom/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fill>
        <patternFill patternType="solid">
          <fgColor indexed="64"/>
          <bgColor theme="9" tint="0.39997558519241921"/>
        </patternFill>
      </fill>
      <alignment horizontal="general" vertical="bottom" textRotation="0" wrapText="1" indent="0" justifyLastLine="0" shrinkToFit="0" readingOrder="0"/>
      <border diagonalUp="0" diagonalDown="0">
        <left style="thin">
          <color indexed="64"/>
        </left>
        <right/>
        <top/>
        <bottom/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fill>
        <patternFill patternType="solid">
          <fgColor indexed="64"/>
          <bgColor theme="9" tint="0.39997558519241921"/>
        </patternFill>
      </fill>
      <border diagonalUp="0" diagonalDown="0">
        <left style="thin">
          <color indexed="64"/>
        </left>
        <right/>
        <top/>
        <bottom/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fill>
        <patternFill patternType="solid">
          <fgColor indexed="64"/>
          <bgColor theme="9" tint="0.39997558519241921"/>
        </patternFill>
      </fill>
      <border diagonalUp="0" diagonalDown="0">
        <left style="thin">
          <color indexed="64"/>
        </left>
        <right/>
        <top/>
        <bottom/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numFmt numFmtId="19" formatCode="m/d/yyyy"/>
      <fill>
        <patternFill patternType="solid">
          <fgColor indexed="64"/>
          <bgColor theme="9" tint="0.39997558519241921"/>
        </patternFill>
      </fill>
      <border diagonalUp="0" diagonalDown="0">
        <left style="thin">
          <color indexed="64"/>
        </left>
        <right/>
        <top/>
        <bottom/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fill>
        <patternFill patternType="solid">
          <fgColor indexed="64"/>
          <bgColor theme="9" tint="0.39997558519241921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indexed="64"/>
        </left>
        <right/>
        <top/>
        <bottom/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fill>
        <patternFill patternType="solid">
          <fgColor indexed="64"/>
          <bgColor theme="9" tint="0.39997558519241921"/>
        </patternFill>
      </fill>
      <alignment horizontal="right" vertical="bottom" textRotation="0" wrapText="1" indent="0" justifyLastLine="0" shrinkToFit="0" readingOrder="0"/>
      <border diagonalUp="0" diagonalDown="0">
        <left style="thin">
          <color indexed="64"/>
        </left>
        <right/>
        <top/>
        <bottom/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fill>
        <patternFill patternType="solid">
          <fgColor indexed="64"/>
          <bgColor theme="9" tint="0.39997558519241921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/>
        <top/>
        <bottom/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fill>
        <patternFill patternType="solid">
          <fgColor indexed="64"/>
          <bgColor theme="9" tint="0.39997558519241921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/>
        <top/>
        <bottom/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fill>
        <patternFill patternType="solid">
          <fgColor indexed="64"/>
          <bgColor theme="9" tint="0.39997558519241921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/>
        <top/>
        <bottom/>
        <vertical/>
        <horizontal/>
      </border>
      <protection locked="1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fill>
        <patternFill patternType="solid">
          <fgColor indexed="64"/>
          <bgColor theme="9" tint="0.39997558519241921"/>
        </patternFill>
      </fill>
      <alignment horizontal="right" vertical="bottom" textRotation="0" wrapText="0" indent="0" justifyLastLine="0" shrinkToFit="0" readingOrder="0"/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fill>
        <patternFill patternType="solid">
          <fgColor indexed="64"/>
          <bgColor theme="0" tint="-0.249977111117893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  <protection locked="0" hidden="0"/>
    </dxf>
  </dxfs>
  <tableStyles count="0" defaultTableStyle="TableStyleMedium2" defaultPivotStyle="PivotStyleLight16"/>
  <colors>
    <mruColors>
      <color rgb="FF6EF28D"/>
      <color rgb="FFDB83DD"/>
      <color rgb="FF8AE0EE"/>
      <color rgb="FFE5BBF1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32306530-1CBB-4D8C-8FF1-B21A9A256F43}" name="Table1" displayName="Table1" ref="A1:T161" totalsRowShown="0" headerRowDxfId="27">
  <autoFilter ref="A1:T161" xr:uid="{15910B31-A0BC-45F7-B105-77B50334E4E1}"/>
  <tableColumns count="20">
    <tableColumn id="1" xr3:uid="{3EDA2AE3-7E16-43B5-A54B-E9CE308A53BF}" name="File Number" dataDxfId="26"/>
    <tableColumn id="2" xr3:uid="{FAE33A38-8DFE-4D96-937A-345BC574FD83}" name="Quarter" dataDxfId="25">
      <calculatedColumnFormula>CHOOSE(MONTH(H2), 4,4,4,1,1,1,2,2,2,3,3,3)</calculatedColumnFormula>
    </tableColumn>
    <tableColumn id="3" xr3:uid="{47D9E01A-3465-459F-9DD6-DC49ABC81173}" name="Region" dataDxfId="24"/>
    <tableColumn id="4" xr3:uid="{E5A55F8B-9D75-44B6-A619-7319891BC9B0}" name="Province" dataDxfId="23"/>
    <tableColumn id="5" xr3:uid="{78AABA92-C3F4-4EC0-B328-C94EFC3A62BD}" name="Issued By" dataDxfId="22"/>
    <tableColumn id="6" xr3:uid="{F96B45A4-4242-48FA-A0BB-1BF766133399}" name="Date Received"/>
    <tableColumn id="7" xr3:uid="{A9411E36-1782-4931-8205-8766A41A7232}" name="Type of Enforcement Action" dataDxfId="21"/>
    <tableColumn id="8" xr3:uid="{1B142B0D-1548-44FE-85A5-F791373B48D4}" name="Date Action Taken" dataDxfId="20"/>
    <tableColumn id="9" xr3:uid="{B78A9712-BFF7-44C7-B391-D162603873D0}" name="Total Fine Charged" dataDxfId="19"/>
    <tableColumn id="10" xr3:uid="{68714FFA-5D32-4EEB-AD25-E9E0EC2123EA}" name="TDG Act Reference" dataDxfId="18"/>
    <tableColumn id="11" xr3:uid="{E0C24977-756E-432E-902F-2A0A6E7F9E01}" name="TDG Regulations Reference" dataDxfId="17"/>
    <tableColumn id="12" xr3:uid="{2899AB4C-611E-4A56-B1FE-D39D9FF70A3E}" name="Standards / IMDG Code / ICAO TI / 49 CFR" dataDxfId="16"/>
    <tableColumn id="13" xr3:uid="{BACFF46F-A2DB-4D51-8C18-C97A76EF0E88}" name="Enforcement Action Issued To" dataDxfId="15"/>
    <tableColumn id="14" xr3:uid="{B1E6DF28-ECE3-4AA9-B4F3-47931D3BED4F}" name="Offender Name" dataDxfId="14"/>
    <tableColumn id="15" xr3:uid="{77CF03EB-92ED-4596-9692-2174475A0DC6}" name="IIS ID Number" dataDxfId="13"/>
    <tableColumn id="16" xr3:uid="{2809101E-88B7-4047-9BC4-CF6759AA854A}" name="IIS Activity Number"/>
    <tableColumn id="17" xr3:uid="{B3134C02-9A4E-456C-9898-868BF7F75B4B}" name="RDIMS References"/>
    <tableColumn id="18" xr3:uid="{C521E5E9-5DBC-46FD-AA60-473D952E9313}" name="Logged by" dataDxfId="12"/>
    <tableColumn id="19" xr3:uid="{0ABA4138-E59F-4371-A3A1-23898755BC80}" name="Posted to the Web" dataDxfId="11"/>
    <tableColumn id="20" xr3:uid="{5A287BB8-15CC-47C8-A550-21F4C900F2D1}" name="Date Posted" dataDxfId="10"/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theme="9" tint="0.39997558519241921"/>
  </sheetPr>
  <dimension ref="A1:U161"/>
  <sheetViews>
    <sheetView tabSelected="1" zoomScale="115" zoomScaleNormal="115" workbookViewId="0">
      <selection activeCell="G8" sqref="G8"/>
    </sheetView>
  </sheetViews>
  <sheetFormatPr defaultColWidth="8.85546875" defaultRowHeight="15" x14ac:dyDescent="0.25"/>
  <cols>
    <col min="1" max="1" width="19.7109375" customWidth="1"/>
    <col min="2" max="2" width="15" customWidth="1"/>
    <col min="3" max="3" width="12" customWidth="1"/>
    <col min="4" max="4" width="13.7109375" customWidth="1"/>
    <col min="5" max="5" width="26.5703125" customWidth="1"/>
    <col min="6" max="6" width="20.5703125" customWidth="1"/>
    <col min="7" max="7" width="36.5703125" customWidth="1"/>
    <col min="8" max="8" width="25.140625" customWidth="1"/>
    <col min="9" max="10" width="26.28515625" customWidth="1"/>
    <col min="11" max="11" width="36.140625" customWidth="1"/>
    <col min="12" max="12" width="55.5703125" customWidth="1"/>
    <col min="13" max="13" width="39" customWidth="1"/>
    <col min="14" max="14" width="30.85546875" customWidth="1"/>
    <col min="15" max="15" width="26.5703125" customWidth="1"/>
    <col min="16" max="16" width="30.140625" customWidth="1"/>
    <col min="17" max="17" width="45.28515625" customWidth="1"/>
    <col min="18" max="18" width="26.5703125" customWidth="1"/>
    <col min="19" max="19" width="25.7109375" customWidth="1"/>
    <col min="20" max="20" width="18.140625" customWidth="1"/>
    <col min="21" max="21" width="8.85546875" customWidth="1"/>
  </cols>
  <sheetData>
    <row r="1" spans="1:21" x14ac:dyDescent="0.25">
      <c r="A1" s="93" t="s">
        <v>1204</v>
      </c>
      <c r="B1" s="89" t="s">
        <v>28</v>
      </c>
      <c r="C1" s="94" t="s">
        <v>10</v>
      </c>
      <c r="D1" s="94" t="s">
        <v>29</v>
      </c>
      <c r="E1" s="89" t="s">
        <v>1205</v>
      </c>
      <c r="F1" s="89" t="s">
        <v>1206</v>
      </c>
      <c r="G1" s="89" t="s">
        <v>30</v>
      </c>
      <c r="H1" s="89" t="s">
        <v>1207</v>
      </c>
      <c r="I1" s="91" t="s">
        <v>1208</v>
      </c>
      <c r="J1" s="89" t="s">
        <v>184</v>
      </c>
      <c r="K1" s="89" t="s">
        <v>31</v>
      </c>
      <c r="L1" s="90" t="s">
        <v>32</v>
      </c>
      <c r="M1" s="91" t="s">
        <v>33</v>
      </c>
      <c r="N1" s="91" t="s">
        <v>1209</v>
      </c>
      <c r="O1" s="91" t="s">
        <v>185</v>
      </c>
      <c r="P1" s="92" t="s">
        <v>34</v>
      </c>
      <c r="Q1" s="89" t="s">
        <v>1210</v>
      </c>
      <c r="R1" s="91" t="s">
        <v>1211</v>
      </c>
      <c r="S1" s="91" t="s">
        <v>204</v>
      </c>
      <c r="T1" s="89" t="s">
        <v>1212</v>
      </c>
      <c r="U1" s="5"/>
    </row>
    <row r="2" spans="1:21" ht="72" x14ac:dyDescent="0.25">
      <c r="A2" s="22" t="s">
        <v>195</v>
      </c>
      <c r="B2" s="23">
        <v>2</v>
      </c>
      <c r="C2" s="23" t="s">
        <v>7</v>
      </c>
      <c r="D2" s="23" t="s">
        <v>182</v>
      </c>
      <c r="E2" s="24" t="s">
        <v>200</v>
      </c>
      <c r="F2" s="25">
        <v>43862</v>
      </c>
      <c r="G2" s="24" t="s">
        <v>38</v>
      </c>
      <c r="H2" s="25">
        <v>43861</v>
      </c>
      <c r="I2" s="24"/>
      <c r="J2" s="24" t="s">
        <v>196</v>
      </c>
      <c r="K2" s="24" t="s">
        <v>197</v>
      </c>
      <c r="L2" s="24"/>
      <c r="M2" s="24" t="s">
        <v>198</v>
      </c>
      <c r="N2" s="24"/>
      <c r="O2" s="24">
        <v>123456</v>
      </c>
      <c r="P2" s="24" t="s">
        <v>199</v>
      </c>
      <c r="Q2" s="26" t="s">
        <v>201</v>
      </c>
      <c r="R2" s="23" t="s">
        <v>25</v>
      </c>
      <c r="S2" s="24"/>
      <c r="T2" s="24"/>
      <c r="U2" s="27"/>
    </row>
    <row r="3" spans="1:21" ht="72.75" x14ac:dyDescent="0.25">
      <c r="A3" s="6" t="s">
        <v>35</v>
      </c>
      <c r="B3" s="18">
        <f>CHOOSE(MONTH(H3), 4,4,4,1,1,1,2,2,2,3,3,3)</f>
        <v>1</v>
      </c>
      <c r="C3" s="7" t="s">
        <v>8</v>
      </c>
      <c r="D3" s="7" t="s">
        <v>163</v>
      </c>
      <c r="E3" s="50" t="s">
        <v>242</v>
      </c>
      <c r="F3" s="9">
        <v>43935</v>
      </c>
      <c r="G3" s="8" t="s">
        <v>38</v>
      </c>
      <c r="H3" s="9">
        <v>43936</v>
      </c>
      <c r="I3" s="9"/>
      <c r="J3" s="10" t="s">
        <v>243</v>
      </c>
      <c r="K3" s="36" t="s">
        <v>239</v>
      </c>
      <c r="L3" s="10" t="s">
        <v>244</v>
      </c>
      <c r="M3" s="36" t="s">
        <v>240</v>
      </c>
      <c r="N3" s="11"/>
      <c r="O3" s="10" t="s">
        <v>241</v>
      </c>
      <c r="P3" s="10" t="s">
        <v>241</v>
      </c>
      <c r="Q3" s="37" t="s">
        <v>253</v>
      </c>
      <c r="R3" s="10" t="s">
        <v>26</v>
      </c>
      <c r="S3" s="7"/>
      <c r="T3" s="10"/>
      <c r="U3" s="11"/>
    </row>
    <row r="4" spans="1:21" ht="47.25" x14ac:dyDescent="0.25">
      <c r="A4" s="12" t="s">
        <v>39</v>
      </c>
      <c r="B4" s="19">
        <f>CHOOSE(MONTH(H4), 4,4,4,1,1,1,2,2,2,3,3,3)</f>
        <v>1</v>
      </c>
      <c r="C4" s="13" t="s">
        <v>5</v>
      </c>
      <c r="D4" s="13" t="s">
        <v>5</v>
      </c>
      <c r="E4" s="51" t="s">
        <v>245</v>
      </c>
      <c r="F4" s="16">
        <v>43930</v>
      </c>
      <c r="G4" s="14" t="s">
        <v>161</v>
      </c>
      <c r="H4" s="16">
        <v>43930</v>
      </c>
      <c r="I4" s="15"/>
      <c r="J4" s="15" t="s">
        <v>196</v>
      </c>
      <c r="K4" s="35">
        <v>5.4</v>
      </c>
      <c r="L4" s="15"/>
      <c r="M4" s="35" t="s">
        <v>249</v>
      </c>
      <c r="N4" s="15"/>
      <c r="O4" s="15">
        <v>4512</v>
      </c>
      <c r="P4" s="35" t="s">
        <v>251</v>
      </c>
      <c r="Q4" s="38" t="s">
        <v>451</v>
      </c>
      <c r="R4" s="15" t="s">
        <v>26</v>
      </c>
      <c r="S4" s="17"/>
      <c r="T4" s="15"/>
      <c r="U4" s="5"/>
    </row>
    <row r="5" spans="1:21" ht="29.25" x14ac:dyDescent="0.25">
      <c r="A5" s="6" t="s">
        <v>40</v>
      </c>
      <c r="B5" s="18">
        <f t="shared" ref="B5:B66" si="0">CHOOSE(MONTH(H5), 4,4,4,1,1,1,2,2,2,3,3,3)</f>
        <v>1</v>
      </c>
      <c r="C5" s="7" t="s">
        <v>5</v>
      </c>
      <c r="D5" s="7" t="s">
        <v>5</v>
      </c>
      <c r="E5" s="50" t="s">
        <v>245</v>
      </c>
      <c r="F5" s="9">
        <v>43930</v>
      </c>
      <c r="G5" s="8" t="s">
        <v>161</v>
      </c>
      <c r="H5" s="9">
        <v>43930</v>
      </c>
      <c r="I5" s="10"/>
      <c r="J5" s="10" t="s">
        <v>247</v>
      </c>
      <c r="K5" s="36" t="s">
        <v>250</v>
      </c>
      <c r="L5" s="10"/>
      <c r="M5" s="36" t="s">
        <v>249</v>
      </c>
      <c r="N5" s="10"/>
      <c r="O5" s="10">
        <v>4512</v>
      </c>
      <c r="P5" s="36" t="s">
        <v>251</v>
      </c>
      <c r="Q5" s="39" t="s">
        <v>452</v>
      </c>
      <c r="R5" s="10" t="s">
        <v>26</v>
      </c>
      <c r="S5" s="7"/>
      <c r="T5" s="10"/>
      <c r="U5" s="11"/>
    </row>
    <row r="6" spans="1:21" ht="29.25" x14ac:dyDescent="0.25">
      <c r="A6" s="12" t="s">
        <v>41</v>
      </c>
      <c r="B6" s="19">
        <f t="shared" si="0"/>
        <v>1</v>
      </c>
      <c r="C6" s="13" t="s">
        <v>5</v>
      </c>
      <c r="D6" s="13" t="s">
        <v>5</v>
      </c>
      <c r="E6" s="51" t="s">
        <v>245</v>
      </c>
      <c r="F6" s="16">
        <v>43930</v>
      </c>
      <c r="G6" s="14" t="s">
        <v>161</v>
      </c>
      <c r="H6" s="16">
        <v>43930</v>
      </c>
      <c r="I6" s="15"/>
      <c r="J6" s="15" t="s">
        <v>196</v>
      </c>
      <c r="K6" s="35" t="s">
        <v>248</v>
      </c>
      <c r="L6" s="35" t="s">
        <v>252</v>
      </c>
      <c r="M6" s="35" t="s">
        <v>249</v>
      </c>
      <c r="N6" s="15"/>
      <c r="O6" s="15">
        <v>4512</v>
      </c>
      <c r="P6" s="35" t="s">
        <v>251</v>
      </c>
      <c r="Q6" s="38" t="s">
        <v>452</v>
      </c>
      <c r="R6" s="15" t="s">
        <v>26</v>
      </c>
      <c r="S6" s="17"/>
      <c r="T6" s="15"/>
      <c r="U6" s="5"/>
    </row>
    <row r="7" spans="1:21" ht="100.5" x14ac:dyDescent="0.25">
      <c r="A7" s="6" t="s">
        <v>42</v>
      </c>
      <c r="B7" s="18">
        <f t="shared" si="0"/>
        <v>1</v>
      </c>
      <c r="C7" s="7" t="s">
        <v>8</v>
      </c>
      <c r="D7" s="7" t="s">
        <v>163</v>
      </c>
      <c r="E7" s="50" t="s">
        <v>308</v>
      </c>
      <c r="F7" s="9">
        <v>43963</v>
      </c>
      <c r="G7" s="8" t="s">
        <v>164</v>
      </c>
      <c r="H7" s="9">
        <v>43962</v>
      </c>
      <c r="I7" s="10"/>
      <c r="J7" s="10" t="s">
        <v>196</v>
      </c>
      <c r="K7" s="36" t="s">
        <v>309</v>
      </c>
      <c r="L7" s="10"/>
      <c r="M7" s="36" t="s">
        <v>310</v>
      </c>
      <c r="N7" s="10"/>
      <c r="O7" s="10">
        <v>21604</v>
      </c>
      <c r="P7" s="36" t="s">
        <v>353</v>
      </c>
      <c r="Q7" s="39" t="s">
        <v>430</v>
      </c>
      <c r="R7" s="10" t="s">
        <v>23</v>
      </c>
      <c r="S7" s="7"/>
      <c r="T7" s="10"/>
      <c r="U7" s="11"/>
    </row>
    <row r="8" spans="1:21" ht="57.75" x14ac:dyDescent="0.25">
      <c r="A8" s="40" t="s">
        <v>43</v>
      </c>
      <c r="B8" s="41">
        <f t="shared" si="0"/>
        <v>1</v>
      </c>
      <c r="C8" s="42" t="s">
        <v>8</v>
      </c>
      <c r="D8" s="42" t="s">
        <v>163</v>
      </c>
      <c r="E8" s="52" t="s">
        <v>316</v>
      </c>
      <c r="F8" s="44">
        <v>43971</v>
      </c>
      <c r="G8" s="43" t="s">
        <v>161</v>
      </c>
      <c r="H8" s="44">
        <v>43971</v>
      </c>
      <c r="I8" s="45"/>
      <c r="J8" s="45"/>
      <c r="K8" s="46" t="s">
        <v>318</v>
      </c>
      <c r="L8" s="45"/>
      <c r="M8" s="46" t="s">
        <v>317</v>
      </c>
      <c r="N8" s="45"/>
      <c r="O8" s="45">
        <v>23951</v>
      </c>
      <c r="P8" s="46" t="s">
        <v>354</v>
      </c>
      <c r="Q8" s="47" t="s">
        <v>321</v>
      </c>
      <c r="R8" s="45" t="s">
        <v>23</v>
      </c>
      <c r="S8" s="42"/>
      <c r="T8" s="45"/>
      <c r="U8" s="48"/>
    </row>
    <row r="9" spans="1:21" ht="57.75" x14ac:dyDescent="0.25">
      <c r="A9" s="6" t="s">
        <v>44</v>
      </c>
      <c r="B9" s="18">
        <f t="shared" si="0"/>
        <v>1</v>
      </c>
      <c r="C9" s="7" t="s">
        <v>8</v>
      </c>
      <c r="D9" s="7" t="s">
        <v>163</v>
      </c>
      <c r="E9" s="50" t="s">
        <v>350</v>
      </c>
      <c r="F9" s="9">
        <v>43979</v>
      </c>
      <c r="G9" s="8" t="s">
        <v>161</v>
      </c>
      <c r="H9" s="9">
        <v>43979</v>
      </c>
      <c r="I9" s="10"/>
      <c r="J9" s="10" t="s">
        <v>409</v>
      </c>
      <c r="K9" s="36" t="s">
        <v>410</v>
      </c>
      <c r="L9" s="10"/>
      <c r="M9" s="36" t="s">
        <v>351</v>
      </c>
      <c r="N9" s="10"/>
      <c r="O9" s="10">
        <v>6382973</v>
      </c>
      <c r="P9" s="36" t="s">
        <v>352</v>
      </c>
      <c r="Q9" s="39" t="s">
        <v>411</v>
      </c>
      <c r="R9" s="10" t="s">
        <v>23</v>
      </c>
      <c r="S9" s="7"/>
      <c r="T9" s="10"/>
      <c r="U9" s="11"/>
    </row>
    <row r="10" spans="1:21" ht="57.75" x14ac:dyDescent="0.25">
      <c r="A10" s="12" t="s">
        <v>45</v>
      </c>
      <c r="B10" s="19">
        <f t="shared" si="0"/>
        <v>1</v>
      </c>
      <c r="C10" s="13" t="s">
        <v>4</v>
      </c>
      <c r="D10" s="13" t="s">
        <v>176</v>
      </c>
      <c r="E10" s="51" t="s">
        <v>420</v>
      </c>
      <c r="F10" s="16">
        <v>44006</v>
      </c>
      <c r="G10" s="14" t="s">
        <v>161</v>
      </c>
      <c r="H10" s="16">
        <v>44006</v>
      </c>
      <c r="I10" s="15"/>
      <c r="J10" s="15" t="s">
        <v>196</v>
      </c>
      <c r="K10" s="35" t="s">
        <v>363</v>
      </c>
      <c r="L10" s="15"/>
      <c r="M10" s="35" t="s">
        <v>421</v>
      </c>
      <c r="N10" s="15"/>
      <c r="O10" s="15">
        <v>2722</v>
      </c>
      <c r="P10" s="15" t="s">
        <v>422</v>
      </c>
      <c r="Q10" s="38" t="s">
        <v>431</v>
      </c>
      <c r="R10" s="15" t="s">
        <v>23</v>
      </c>
      <c r="S10" s="17"/>
      <c r="T10" s="15"/>
      <c r="U10" s="5"/>
    </row>
    <row r="11" spans="1:21" ht="29.25" x14ac:dyDescent="0.25">
      <c r="A11" s="6" t="s">
        <v>46</v>
      </c>
      <c r="B11" s="18">
        <f t="shared" si="0"/>
        <v>1</v>
      </c>
      <c r="C11" s="7" t="s">
        <v>8</v>
      </c>
      <c r="D11" s="7" t="s">
        <v>163</v>
      </c>
      <c r="E11" s="50" t="s">
        <v>433</v>
      </c>
      <c r="F11" s="9">
        <v>44008</v>
      </c>
      <c r="G11" s="8" t="s">
        <v>164</v>
      </c>
      <c r="H11" s="9">
        <v>43951</v>
      </c>
      <c r="I11" s="10"/>
      <c r="J11" s="10" t="s">
        <v>434</v>
      </c>
      <c r="K11" s="36" t="s">
        <v>435</v>
      </c>
      <c r="L11" s="10"/>
      <c r="M11" s="36" t="s">
        <v>432</v>
      </c>
      <c r="N11" s="10"/>
      <c r="O11" s="10">
        <v>5182633</v>
      </c>
      <c r="P11" s="10" t="s">
        <v>436</v>
      </c>
      <c r="Q11" s="20" t="s">
        <v>437</v>
      </c>
      <c r="R11" s="10" t="s">
        <v>23</v>
      </c>
      <c r="S11" s="7" t="s">
        <v>438</v>
      </c>
      <c r="T11" s="10"/>
      <c r="U11" s="11"/>
    </row>
    <row r="12" spans="1:21" ht="43.5" x14ac:dyDescent="0.25">
      <c r="A12" s="12" t="s">
        <v>47</v>
      </c>
      <c r="B12" s="19">
        <f t="shared" si="0"/>
        <v>1</v>
      </c>
      <c r="C12" s="13" t="s">
        <v>8</v>
      </c>
      <c r="D12" s="13" t="s">
        <v>163</v>
      </c>
      <c r="E12" s="51" t="s">
        <v>439</v>
      </c>
      <c r="F12" s="16">
        <v>44012</v>
      </c>
      <c r="G12" s="14" t="s">
        <v>161</v>
      </c>
      <c r="H12" s="16">
        <v>44012</v>
      </c>
      <c r="I12" s="15"/>
      <c r="J12" s="15" t="s">
        <v>196</v>
      </c>
      <c r="K12" s="35" t="s">
        <v>363</v>
      </c>
      <c r="L12" s="15"/>
      <c r="M12" s="35" t="s">
        <v>440</v>
      </c>
      <c r="N12" s="15"/>
      <c r="O12" s="15">
        <v>4112590</v>
      </c>
      <c r="P12" s="15" t="s">
        <v>441</v>
      </c>
      <c r="Q12" s="38" t="s">
        <v>454</v>
      </c>
      <c r="R12" s="15" t="s">
        <v>23</v>
      </c>
      <c r="S12" s="17"/>
      <c r="T12" s="15"/>
      <c r="U12" s="5"/>
    </row>
    <row r="13" spans="1:21" ht="29.25" x14ac:dyDescent="0.25">
      <c r="A13" s="6" t="s">
        <v>48</v>
      </c>
      <c r="B13" s="18">
        <f t="shared" si="0"/>
        <v>1</v>
      </c>
      <c r="C13" s="7" t="s">
        <v>8</v>
      </c>
      <c r="D13" s="7" t="s">
        <v>163</v>
      </c>
      <c r="E13" s="50" t="s">
        <v>433</v>
      </c>
      <c r="F13" s="9">
        <v>44014</v>
      </c>
      <c r="G13" s="8" t="s">
        <v>164</v>
      </c>
      <c r="H13" s="9">
        <v>44008</v>
      </c>
      <c r="I13" s="10"/>
      <c r="J13" s="10" t="s">
        <v>246</v>
      </c>
      <c r="K13" s="36" t="s">
        <v>455</v>
      </c>
      <c r="L13" s="10"/>
      <c r="M13" s="36" t="s">
        <v>446</v>
      </c>
      <c r="N13" s="10" t="s">
        <v>447</v>
      </c>
      <c r="O13" s="10">
        <v>8453209</v>
      </c>
      <c r="P13" s="10" t="s">
        <v>445</v>
      </c>
      <c r="Q13" s="39" t="s">
        <v>448</v>
      </c>
      <c r="R13" s="10" t="s">
        <v>23</v>
      </c>
      <c r="S13" s="7" t="s">
        <v>438</v>
      </c>
      <c r="T13" s="10"/>
      <c r="U13" s="11"/>
    </row>
    <row r="14" spans="1:21" x14ac:dyDescent="0.25">
      <c r="A14" s="12" t="s">
        <v>49</v>
      </c>
      <c r="B14" s="19">
        <f t="shared" si="0"/>
        <v>2</v>
      </c>
      <c r="C14" s="13" t="s">
        <v>6</v>
      </c>
      <c r="D14" s="13" t="s">
        <v>6</v>
      </c>
      <c r="E14" s="51" t="s">
        <v>339</v>
      </c>
      <c r="F14" s="16">
        <v>44022</v>
      </c>
      <c r="G14" s="14" t="s">
        <v>161</v>
      </c>
      <c r="H14" s="16">
        <v>44022</v>
      </c>
      <c r="I14" s="15"/>
      <c r="J14" s="15" t="s">
        <v>409</v>
      </c>
      <c r="K14" s="35" t="s">
        <v>460</v>
      </c>
      <c r="L14" s="15"/>
      <c r="M14" s="35" t="s">
        <v>461</v>
      </c>
      <c r="N14" s="15"/>
      <c r="O14" s="15">
        <v>7904016</v>
      </c>
      <c r="P14" s="15" t="s">
        <v>462</v>
      </c>
      <c r="Q14" s="21" t="s">
        <v>463</v>
      </c>
      <c r="R14" s="15" t="s">
        <v>23</v>
      </c>
      <c r="S14" s="17"/>
      <c r="T14" s="15"/>
      <c r="U14" s="5"/>
    </row>
    <row r="15" spans="1:21" ht="29.25" x14ac:dyDescent="0.25">
      <c r="A15" s="6" t="s">
        <v>50</v>
      </c>
      <c r="B15" s="18">
        <f t="shared" si="0"/>
        <v>1</v>
      </c>
      <c r="C15" s="7" t="s">
        <v>4</v>
      </c>
      <c r="D15" s="7" t="s">
        <v>176</v>
      </c>
      <c r="E15" s="50" t="s">
        <v>420</v>
      </c>
      <c r="F15" s="9">
        <v>44006</v>
      </c>
      <c r="G15" s="8" t="s">
        <v>161</v>
      </c>
      <c r="H15" s="9">
        <v>44006</v>
      </c>
      <c r="I15" s="10"/>
      <c r="J15" s="10" t="s">
        <v>196</v>
      </c>
      <c r="K15" s="36" t="s">
        <v>363</v>
      </c>
      <c r="L15" s="10"/>
      <c r="M15" s="36" t="s">
        <v>421</v>
      </c>
      <c r="N15" s="10"/>
      <c r="O15" s="10">
        <v>1994934</v>
      </c>
      <c r="P15" s="10" t="s">
        <v>464</v>
      </c>
      <c r="Q15" s="39" t="s">
        <v>465</v>
      </c>
      <c r="R15" s="10" t="s">
        <v>23</v>
      </c>
      <c r="S15" s="7"/>
      <c r="T15" s="10"/>
      <c r="U15" s="11"/>
    </row>
    <row r="16" spans="1:21" ht="29.25" x14ac:dyDescent="0.25">
      <c r="A16" s="12" t="s">
        <v>51</v>
      </c>
      <c r="B16" s="19">
        <f t="shared" si="0"/>
        <v>1</v>
      </c>
      <c r="C16" s="13" t="s">
        <v>4</v>
      </c>
      <c r="D16" s="13" t="s">
        <v>176</v>
      </c>
      <c r="E16" s="51" t="s">
        <v>420</v>
      </c>
      <c r="F16" s="16">
        <v>44006</v>
      </c>
      <c r="G16" s="14" t="s">
        <v>161</v>
      </c>
      <c r="H16" s="16">
        <v>44006</v>
      </c>
      <c r="I16" s="15"/>
      <c r="J16" s="15" t="s">
        <v>196</v>
      </c>
      <c r="K16" s="35" t="s">
        <v>363</v>
      </c>
      <c r="L16" s="15"/>
      <c r="M16" s="35" t="s">
        <v>421</v>
      </c>
      <c r="N16" s="15"/>
      <c r="O16" s="15">
        <v>1994924</v>
      </c>
      <c r="P16" s="15" t="s">
        <v>472</v>
      </c>
      <c r="Q16" s="38" t="s">
        <v>465</v>
      </c>
      <c r="R16" s="15" t="s">
        <v>23</v>
      </c>
      <c r="S16" s="17"/>
      <c r="T16" s="15"/>
      <c r="U16" s="5"/>
    </row>
    <row r="17" spans="1:21" ht="72" x14ac:dyDescent="0.25">
      <c r="A17" s="6" t="s">
        <v>52</v>
      </c>
      <c r="B17" s="18">
        <f t="shared" si="0"/>
        <v>2</v>
      </c>
      <c r="C17" s="7" t="s">
        <v>8</v>
      </c>
      <c r="D17" s="7" t="s">
        <v>163</v>
      </c>
      <c r="E17" s="50" t="s">
        <v>470</v>
      </c>
      <c r="F17" s="9">
        <v>44027</v>
      </c>
      <c r="G17" s="8" t="s">
        <v>161</v>
      </c>
      <c r="H17" s="9">
        <v>44029</v>
      </c>
      <c r="I17" s="10"/>
      <c r="J17" s="10" t="s">
        <v>196</v>
      </c>
      <c r="K17" s="36" t="s">
        <v>475</v>
      </c>
      <c r="L17" s="10"/>
      <c r="M17" s="36" t="s">
        <v>471</v>
      </c>
      <c r="N17" s="10"/>
      <c r="O17" s="10">
        <v>23262</v>
      </c>
      <c r="P17" s="10" t="s">
        <v>473</v>
      </c>
      <c r="Q17" s="39" t="s">
        <v>518</v>
      </c>
      <c r="R17" s="10" t="s">
        <v>23</v>
      </c>
      <c r="S17" s="7"/>
      <c r="T17" s="10"/>
      <c r="U17" s="11"/>
    </row>
    <row r="18" spans="1:21" ht="43.5" x14ac:dyDescent="0.25">
      <c r="A18" s="40" t="s">
        <v>53</v>
      </c>
      <c r="B18" s="41">
        <f t="shared" si="0"/>
        <v>2</v>
      </c>
      <c r="C18" s="42" t="s">
        <v>6</v>
      </c>
      <c r="D18" s="42" t="s">
        <v>6</v>
      </c>
      <c r="E18" s="52" t="s">
        <v>478</v>
      </c>
      <c r="F18" s="44">
        <v>44033</v>
      </c>
      <c r="G18" s="43" t="s">
        <v>161</v>
      </c>
      <c r="H18" s="44">
        <v>44032</v>
      </c>
      <c r="I18" s="45"/>
      <c r="J18" s="45"/>
      <c r="K18" s="46" t="s">
        <v>479</v>
      </c>
      <c r="L18" s="45"/>
      <c r="M18" s="46" t="s">
        <v>481</v>
      </c>
      <c r="N18" s="45"/>
      <c r="O18" s="45">
        <v>12155</v>
      </c>
      <c r="P18" s="45" t="s">
        <v>480</v>
      </c>
      <c r="Q18" s="47" t="s">
        <v>604</v>
      </c>
      <c r="R18" s="45" t="s">
        <v>23</v>
      </c>
      <c r="S18" s="42"/>
      <c r="T18" s="45"/>
      <c r="U18" s="48"/>
    </row>
    <row r="19" spans="1:21" ht="43.5" x14ac:dyDescent="0.25">
      <c r="A19" s="6" t="s">
        <v>54</v>
      </c>
      <c r="B19" s="18">
        <f t="shared" si="0"/>
        <v>2</v>
      </c>
      <c r="C19" s="7" t="s">
        <v>7</v>
      </c>
      <c r="D19" s="7" t="s">
        <v>167</v>
      </c>
      <c r="E19" s="50" t="s">
        <v>483</v>
      </c>
      <c r="F19" s="9">
        <v>44035</v>
      </c>
      <c r="G19" s="8" t="s">
        <v>161</v>
      </c>
      <c r="H19" s="9">
        <v>44035</v>
      </c>
      <c r="I19" s="10"/>
      <c r="J19" s="10" t="s">
        <v>484</v>
      </c>
      <c r="K19" s="36" t="s">
        <v>487</v>
      </c>
      <c r="L19" s="10"/>
      <c r="M19" s="36" t="s">
        <v>485</v>
      </c>
      <c r="N19" s="10"/>
      <c r="O19" s="10">
        <v>16906</v>
      </c>
      <c r="P19" s="10" t="s">
        <v>486</v>
      </c>
      <c r="Q19" s="39" t="s">
        <v>491</v>
      </c>
      <c r="R19" s="10" t="s">
        <v>23</v>
      </c>
      <c r="S19" s="7"/>
      <c r="T19" s="10"/>
      <c r="U19" s="11"/>
    </row>
    <row r="20" spans="1:21" ht="29.25" x14ac:dyDescent="0.25">
      <c r="A20" s="12" t="s">
        <v>55</v>
      </c>
      <c r="B20" s="19">
        <f t="shared" si="0"/>
        <v>2</v>
      </c>
      <c r="C20" s="13" t="s">
        <v>14</v>
      </c>
      <c r="D20" s="13" t="s">
        <v>6</v>
      </c>
      <c r="E20" s="34" t="s">
        <v>498</v>
      </c>
      <c r="F20" s="16">
        <v>44049</v>
      </c>
      <c r="G20" s="14" t="s">
        <v>164</v>
      </c>
      <c r="H20" s="16">
        <v>44048</v>
      </c>
      <c r="I20" s="15"/>
      <c r="J20" s="15" t="s">
        <v>246</v>
      </c>
      <c r="K20" s="35" t="s">
        <v>499</v>
      </c>
      <c r="L20" s="15"/>
      <c r="M20" s="35" t="s">
        <v>500</v>
      </c>
      <c r="N20" s="15"/>
      <c r="O20" s="15">
        <v>3732620</v>
      </c>
      <c r="P20" s="15" t="s">
        <v>504</v>
      </c>
      <c r="Q20" s="38" t="s">
        <v>501</v>
      </c>
      <c r="R20" s="15" t="s">
        <v>26</v>
      </c>
      <c r="S20" s="17"/>
      <c r="T20" s="15"/>
      <c r="U20" s="5"/>
    </row>
    <row r="21" spans="1:21" ht="43.5" x14ac:dyDescent="0.25">
      <c r="A21" s="6" t="s">
        <v>56</v>
      </c>
      <c r="B21" s="18">
        <f t="shared" si="0"/>
        <v>2</v>
      </c>
      <c r="C21" s="7" t="s">
        <v>8</v>
      </c>
      <c r="D21" s="7" t="s">
        <v>163</v>
      </c>
      <c r="E21" s="50" t="s">
        <v>263</v>
      </c>
      <c r="F21" s="9">
        <v>44056</v>
      </c>
      <c r="G21" s="8" t="s">
        <v>161</v>
      </c>
      <c r="H21" s="9">
        <v>44042</v>
      </c>
      <c r="I21" s="10"/>
      <c r="J21" s="10"/>
      <c r="K21" s="36" t="s">
        <v>509</v>
      </c>
      <c r="L21" s="10"/>
      <c r="M21" s="36" t="s">
        <v>510</v>
      </c>
      <c r="N21" s="10"/>
      <c r="O21" s="10">
        <v>23449</v>
      </c>
      <c r="P21" s="10" t="s">
        <v>511</v>
      </c>
      <c r="Q21" s="39" t="s">
        <v>512</v>
      </c>
      <c r="R21" s="10" t="s">
        <v>23</v>
      </c>
      <c r="S21" s="7"/>
      <c r="T21" s="10"/>
      <c r="U21" s="11"/>
    </row>
    <row r="22" spans="1:21" x14ac:dyDescent="0.25">
      <c r="A22" s="12" t="s">
        <v>57</v>
      </c>
      <c r="B22" s="19">
        <f t="shared" si="0"/>
        <v>2</v>
      </c>
      <c r="C22" s="13" t="s">
        <v>6</v>
      </c>
      <c r="D22" s="13" t="s">
        <v>6</v>
      </c>
      <c r="E22" s="51" t="s">
        <v>525</v>
      </c>
      <c r="F22" s="16">
        <v>44057</v>
      </c>
      <c r="G22" s="14" t="s">
        <v>161</v>
      </c>
      <c r="H22" s="16">
        <v>44057</v>
      </c>
      <c r="I22" s="15"/>
      <c r="J22" s="15" t="s">
        <v>246</v>
      </c>
      <c r="K22" s="35" t="s">
        <v>524</v>
      </c>
      <c r="L22" s="15"/>
      <c r="M22" s="35" t="s">
        <v>523</v>
      </c>
      <c r="N22" s="15"/>
      <c r="O22" s="15">
        <v>4702894</v>
      </c>
      <c r="P22" s="15" t="s">
        <v>522</v>
      </c>
      <c r="Q22" s="21" t="s">
        <v>526</v>
      </c>
      <c r="R22" s="15" t="s">
        <v>23</v>
      </c>
      <c r="S22" s="17"/>
      <c r="T22" s="15"/>
      <c r="U22" s="5"/>
    </row>
    <row r="23" spans="1:21" ht="29.25" x14ac:dyDescent="0.25">
      <c r="A23" s="6" t="s">
        <v>58</v>
      </c>
      <c r="B23" s="18">
        <f t="shared" si="0"/>
        <v>2</v>
      </c>
      <c r="C23" s="7" t="s">
        <v>6</v>
      </c>
      <c r="D23" s="7" t="s">
        <v>6</v>
      </c>
      <c r="E23" s="50" t="s">
        <v>339</v>
      </c>
      <c r="F23" s="9">
        <v>44061</v>
      </c>
      <c r="G23" s="8" t="s">
        <v>161</v>
      </c>
      <c r="H23" s="9">
        <v>44061</v>
      </c>
      <c r="I23" s="10"/>
      <c r="J23" s="10" t="s">
        <v>531</v>
      </c>
      <c r="K23" s="36" t="s">
        <v>532</v>
      </c>
      <c r="L23" s="10"/>
      <c r="M23" s="36" t="s">
        <v>530</v>
      </c>
      <c r="N23" s="10"/>
      <c r="O23" s="10">
        <v>15381</v>
      </c>
      <c r="P23" s="10" t="s">
        <v>533</v>
      </c>
      <c r="Q23" s="20" t="s">
        <v>534</v>
      </c>
      <c r="R23" s="10" t="s">
        <v>23</v>
      </c>
      <c r="S23" s="7"/>
      <c r="T23" s="10"/>
      <c r="U23" s="11"/>
    </row>
    <row r="24" spans="1:21" x14ac:dyDescent="0.25">
      <c r="A24" s="12" t="s">
        <v>59</v>
      </c>
      <c r="B24" s="19">
        <f t="shared" si="0"/>
        <v>2</v>
      </c>
      <c r="C24" s="13" t="s">
        <v>7</v>
      </c>
      <c r="D24" s="13" t="s">
        <v>167</v>
      </c>
      <c r="E24" s="51" t="s">
        <v>554</v>
      </c>
      <c r="F24" s="16">
        <v>44068</v>
      </c>
      <c r="G24" s="14" t="s">
        <v>161</v>
      </c>
      <c r="H24" s="16">
        <v>44068</v>
      </c>
      <c r="I24" s="15"/>
      <c r="J24" s="15" t="s">
        <v>247</v>
      </c>
      <c r="K24" s="35" t="s">
        <v>553</v>
      </c>
      <c r="L24" s="15"/>
      <c r="M24" s="35" t="s">
        <v>552</v>
      </c>
      <c r="N24" s="15"/>
      <c r="O24" s="15">
        <v>17819</v>
      </c>
      <c r="P24" s="15" t="s">
        <v>551</v>
      </c>
      <c r="Q24" s="21" t="s">
        <v>555</v>
      </c>
      <c r="R24" s="15" t="s">
        <v>23</v>
      </c>
      <c r="S24" s="17"/>
      <c r="T24" s="15"/>
      <c r="U24" s="5"/>
    </row>
    <row r="25" spans="1:21" ht="57.75" x14ac:dyDescent="0.25">
      <c r="A25" s="6" t="s">
        <v>60</v>
      </c>
      <c r="B25" s="18">
        <f t="shared" si="0"/>
        <v>2</v>
      </c>
      <c r="C25" s="7" t="s">
        <v>7</v>
      </c>
      <c r="D25" s="7" t="s">
        <v>178</v>
      </c>
      <c r="E25" s="50" t="s">
        <v>483</v>
      </c>
      <c r="F25" s="9">
        <v>44070</v>
      </c>
      <c r="G25" s="8" t="s">
        <v>161</v>
      </c>
      <c r="H25" s="9">
        <v>44068</v>
      </c>
      <c r="I25" s="10"/>
      <c r="J25" s="10" t="s">
        <v>434</v>
      </c>
      <c r="K25" s="36" t="s">
        <v>558</v>
      </c>
      <c r="L25" s="10"/>
      <c r="M25" s="36" t="s">
        <v>557</v>
      </c>
      <c r="N25" s="10"/>
      <c r="O25" s="10">
        <v>1053514</v>
      </c>
      <c r="P25" s="10" t="s">
        <v>556</v>
      </c>
      <c r="Q25" s="39" t="s">
        <v>562</v>
      </c>
      <c r="R25" s="10" t="s">
        <v>23</v>
      </c>
      <c r="S25" s="7"/>
      <c r="T25" s="10"/>
      <c r="U25" s="11"/>
    </row>
    <row r="26" spans="1:21" ht="29.25" x14ac:dyDescent="0.25">
      <c r="A26" s="12" t="s">
        <v>61</v>
      </c>
      <c r="B26" s="19">
        <f t="shared" si="0"/>
        <v>2</v>
      </c>
      <c r="C26" s="13" t="s">
        <v>8</v>
      </c>
      <c r="D26" s="13" t="s">
        <v>163</v>
      </c>
      <c r="E26" s="51" t="s">
        <v>563</v>
      </c>
      <c r="F26" s="16">
        <v>44070</v>
      </c>
      <c r="G26" s="14" t="s">
        <v>164</v>
      </c>
      <c r="H26" s="16">
        <v>44064</v>
      </c>
      <c r="I26" s="15"/>
      <c r="J26" s="15" t="s">
        <v>243</v>
      </c>
      <c r="K26" s="35" t="s">
        <v>553</v>
      </c>
      <c r="L26" s="15"/>
      <c r="M26" s="35" t="s">
        <v>605</v>
      </c>
      <c r="N26" s="15"/>
      <c r="O26" s="15">
        <v>22368</v>
      </c>
      <c r="P26" s="15" t="s">
        <v>564</v>
      </c>
      <c r="Q26" s="38" t="s">
        <v>565</v>
      </c>
      <c r="R26" s="15" t="s">
        <v>23</v>
      </c>
      <c r="S26" s="17"/>
      <c r="T26" s="15"/>
      <c r="U26" s="5"/>
    </row>
    <row r="27" spans="1:21" ht="57.75" x14ac:dyDescent="0.25">
      <c r="A27" s="6" t="s">
        <v>62</v>
      </c>
      <c r="B27" s="18">
        <f t="shared" si="0"/>
        <v>2</v>
      </c>
      <c r="C27" s="7" t="s">
        <v>6</v>
      </c>
      <c r="D27" s="7" t="s">
        <v>6</v>
      </c>
      <c r="E27" s="50" t="s">
        <v>566</v>
      </c>
      <c r="F27" s="9">
        <v>44074</v>
      </c>
      <c r="G27" s="8" t="s">
        <v>161</v>
      </c>
      <c r="H27" s="9">
        <v>44074</v>
      </c>
      <c r="I27" s="10"/>
      <c r="J27" s="10" t="s">
        <v>247</v>
      </c>
      <c r="K27" s="36" t="s">
        <v>568</v>
      </c>
      <c r="L27" s="10"/>
      <c r="M27" s="36" t="s">
        <v>569</v>
      </c>
      <c r="N27" s="10"/>
      <c r="O27" s="10">
        <v>10573</v>
      </c>
      <c r="P27" s="10" t="s">
        <v>567</v>
      </c>
      <c r="Q27" s="39" t="s">
        <v>573</v>
      </c>
      <c r="R27" s="10" t="s">
        <v>23</v>
      </c>
      <c r="S27" s="7"/>
      <c r="T27" s="10"/>
      <c r="U27" s="11"/>
    </row>
    <row r="28" spans="1:21" ht="57.75" x14ac:dyDescent="0.25">
      <c r="A28" s="12" t="s">
        <v>63</v>
      </c>
      <c r="B28" s="19">
        <f t="shared" si="0"/>
        <v>2</v>
      </c>
      <c r="C28" s="13" t="s">
        <v>8</v>
      </c>
      <c r="D28" s="13" t="s">
        <v>163</v>
      </c>
      <c r="E28" s="51" t="s">
        <v>439</v>
      </c>
      <c r="F28" s="16">
        <v>44076</v>
      </c>
      <c r="G28" s="14" t="s">
        <v>161</v>
      </c>
      <c r="H28" s="16">
        <v>44075</v>
      </c>
      <c r="I28" s="15"/>
      <c r="J28" s="15" t="s">
        <v>247</v>
      </c>
      <c r="K28" s="35" t="s">
        <v>574</v>
      </c>
      <c r="L28" s="15"/>
      <c r="M28" s="35" t="s">
        <v>576</v>
      </c>
      <c r="N28" s="15"/>
      <c r="O28" s="15">
        <v>23424</v>
      </c>
      <c r="P28" s="15" t="s">
        <v>575</v>
      </c>
      <c r="Q28" s="38" t="s">
        <v>580</v>
      </c>
      <c r="R28" s="15" t="s">
        <v>23</v>
      </c>
      <c r="S28" s="17"/>
      <c r="T28" s="15"/>
      <c r="U28" s="5"/>
    </row>
    <row r="29" spans="1:21" ht="29.25" x14ac:dyDescent="0.25">
      <c r="A29" s="6" t="s">
        <v>64</v>
      </c>
      <c r="B29" s="18">
        <f t="shared" si="0"/>
        <v>2</v>
      </c>
      <c r="C29" s="7" t="s">
        <v>8</v>
      </c>
      <c r="D29" s="7" t="s">
        <v>163</v>
      </c>
      <c r="E29" s="50" t="s">
        <v>263</v>
      </c>
      <c r="F29" s="9">
        <v>44082</v>
      </c>
      <c r="G29" s="8" t="s">
        <v>164</v>
      </c>
      <c r="H29" s="9">
        <v>44071</v>
      </c>
      <c r="I29" s="10"/>
      <c r="J29" s="10" t="s">
        <v>594</v>
      </c>
      <c r="K29" s="36" t="s">
        <v>595</v>
      </c>
      <c r="L29" s="10"/>
      <c r="M29" s="36" t="s">
        <v>593</v>
      </c>
      <c r="N29" s="10"/>
      <c r="O29" s="10">
        <v>8453655</v>
      </c>
      <c r="P29" s="10" t="s">
        <v>592</v>
      </c>
      <c r="Q29" s="20" t="s">
        <v>596</v>
      </c>
      <c r="R29" s="10" t="s">
        <v>23</v>
      </c>
      <c r="S29" s="7"/>
      <c r="T29" s="10"/>
      <c r="U29" s="11"/>
    </row>
    <row r="30" spans="1:21" x14ac:dyDescent="0.25">
      <c r="A30" s="12" t="s">
        <v>65</v>
      </c>
      <c r="B30" s="19">
        <f t="shared" si="0"/>
        <v>2</v>
      </c>
      <c r="C30" s="13" t="s">
        <v>8</v>
      </c>
      <c r="D30" s="13" t="s">
        <v>163</v>
      </c>
      <c r="E30" s="51" t="s">
        <v>563</v>
      </c>
      <c r="F30" s="16">
        <v>44085</v>
      </c>
      <c r="G30" s="14" t="s">
        <v>161</v>
      </c>
      <c r="H30" s="16">
        <v>44085</v>
      </c>
      <c r="I30" s="15"/>
      <c r="J30" s="15" t="s">
        <v>247</v>
      </c>
      <c r="K30" s="35" t="s">
        <v>553</v>
      </c>
      <c r="L30" s="15"/>
      <c r="M30" s="35" t="s">
        <v>605</v>
      </c>
      <c r="N30" s="15"/>
      <c r="O30" s="15">
        <v>22368</v>
      </c>
      <c r="P30" s="15" t="s">
        <v>564</v>
      </c>
      <c r="Q30" s="21"/>
      <c r="R30" s="15"/>
      <c r="S30" s="17"/>
      <c r="T30" s="15"/>
      <c r="U30" s="5"/>
    </row>
    <row r="31" spans="1:21" x14ac:dyDescent="0.25">
      <c r="A31" s="6" t="s">
        <v>66</v>
      </c>
      <c r="B31" s="18">
        <f t="shared" si="0"/>
        <v>2</v>
      </c>
      <c r="C31" s="7" t="s">
        <v>7</v>
      </c>
      <c r="D31" s="7" t="s">
        <v>167</v>
      </c>
      <c r="E31" s="50" t="s">
        <v>554</v>
      </c>
      <c r="F31" s="9">
        <v>44098</v>
      </c>
      <c r="G31" s="8" t="s">
        <v>161</v>
      </c>
      <c r="H31" s="9">
        <v>44098</v>
      </c>
      <c r="I31" s="10"/>
      <c r="J31" s="10" t="s">
        <v>247</v>
      </c>
      <c r="K31" s="36" t="s">
        <v>509</v>
      </c>
      <c r="L31" s="10"/>
      <c r="M31" s="36" t="s">
        <v>607</v>
      </c>
      <c r="N31" s="10"/>
      <c r="O31" s="10">
        <v>17922</v>
      </c>
      <c r="P31" s="10" t="s">
        <v>606</v>
      </c>
      <c r="Q31" s="20"/>
      <c r="R31" s="10"/>
      <c r="S31" s="7"/>
      <c r="T31" s="10"/>
      <c r="U31" s="11"/>
    </row>
    <row r="32" spans="1:21" x14ac:dyDescent="0.25">
      <c r="A32" s="12" t="s">
        <v>67</v>
      </c>
      <c r="B32" s="19">
        <f t="shared" si="0"/>
        <v>2</v>
      </c>
      <c r="C32" s="13" t="s">
        <v>6</v>
      </c>
      <c r="D32" s="13" t="s">
        <v>6</v>
      </c>
      <c r="E32" s="51" t="s">
        <v>339</v>
      </c>
      <c r="F32" s="16">
        <v>44103</v>
      </c>
      <c r="G32" s="14" t="s">
        <v>161</v>
      </c>
      <c r="H32" s="16">
        <v>44102</v>
      </c>
      <c r="I32" s="15"/>
      <c r="J32" s="15" t="s">
        <v>247</v>
      </c>
      <c r="K32" s="35" t="s">
        <v>810</v>
      </c>
      <c r="L32" s="15"/>
      <c r="M32" s="35" t="s">
        <v>717</v>
      </c>
      <c r="N32" s="15"/>
      <c r="O32" s="15">
        <v>1873107</v>
      </c>
      <c r="P32" s="15" t="s">
        <v>608</v>
      </c>
      <c r="Q32" s="21"/>
      <c r="R32" s="15"/>
      <c r="S32" s="17"/>
      <c r="T32" s="15"/>
      <c r="U32" s="5"/>
    </row>
    <row r="33" spans="1:21" x14ac:dyDescent="0.25">
      <c r="A33" s="6" t="s">
        <v>68</v>
      </c>
      <c r="B33" s="18">
        <f t="shared" si="0"/>
        <v>2</v>
      </c>
      <c r="C33" s="7" t="s">
        <v>7</v>
      </c>
      <c r="D33" s="7" t="s">
        <v>167</v>
      </c>
      <c r="E33" s="50" t="s">
        <v>554</v>
      </c>
      <c r="F33" s="9">
        <v>44103</v>
      </c>
      <c r="G33" s="8" t="s">
        <v>161</v>
      </c>
      <c r="H33" s="9">
        <v>44103</v>
      </c>
      <c r="I33" s="10"/>
      <c r="J33" s="10" t="s">
        <v>246</v>
      </c>
      <c r="K33" s="36" t="s">
        <v>811</v>
      </c>
      <c r="L33" s="10"/>
      <c r="M33" s="36" t="s">
        <v>718</v>
      </c>
      <c r="N33" s="10"/>
      <c r="O33" s="10">
        <v>17914</v>
      </c>
      <c r="P33" s="10" t="s">
        <v>609</v>
      </c>
      <c r="Q33" s="20"/>
      <c r="R33" s="10"/>
      <c r="S33" s="7"/>
      <c r="T33" s="10"/>
      <c r="U33" s="11"/>
    </row>
    <row r="34" spans="1:21" x14ac:dyDescent="0.25">
      <c r="A34" s="40" t="s">
        <v>69</v>
      </c>
      <c r="B34" s="41">
        <f t="shared" si="0"/>
        <v>2</v>
      </c>
      <c r="C34" s="42" t="s">
        <v>5</v>
      </c>
      <c r="D34" s="42" t="s">
        <v>5</v>
      </c>
      <c r="E34" s="52" t="s">
        <v>323</v>
      </c>
      <c r="F34" s="44">
        <v>44105</v>
      </c>
      <c r="G34" s="43" t="s">
        <v>164</v>
      </c>
      <c r="H34" s="44">
        <v>44104</v>
      </c>
      <c r="I34" s="45"/>
      <c r="J34" s="45" t="s">
        <v>812</v>
      </c>
      <c r="K34" s="46" t="s">
        <v>813</v>
      </c>
      <c r="L34" s="45"/>
      <c r="M34" s="46" t="s">
        <v>719</v>
      </c>
      <c r="N34" s="45"/>
      <c r="O34" s="45">
        <v>7533</v>
      </c>
      <c r="P34" s="45" t="s">
        <v>610</v>
      </c>
      <c r="Q34" s="49"/>
      <c r="R34" s="45"/>
      <c r="S34" s="42"/>
      <c r="T34" s="45"/>
      <c r="U34" s="48"/>
    </row>
    <row r="35" spans="1:21" x14ac:dyDescent="0.25">
      <c r="A35" s="6" t="s">
        <v>70</v>
      </c>
      <c r="B35" s="18">
        <f t="shared" si="0"/>
        <v>2</v>
      </c>
      <c r="C35" s="7" t="s">
        <v>5</v>
      </c>
      <c r="D35" s="7" t="s">
        <v>5</v>
      </c>
      <c r="E35" s="50" t="s">
        <v>323</v>
      </c>
      <c r="F35" s="9">
        <v>44105</v>
      </c>
      <c r="G35" s="8" t="s">
        <v>164</v>
      </c>
      <c r="H35" s="9">
        <v>44104</v>
      </c>
      <c r="I35" s="10"/>
      <c r="J35" s="10" t="s">
        <v>246</v>
      </c>
      <c r="K35" s="36" t="s">
        <v>813</v>
      </c>
      <c r="L35" s="10"/>
      <c r="M35" s="36" t="s">
        <v>720</v>
      </c>
      <c r="N35" s="10"/>
      <c r="O35" s="10">
        <v>7600</v>
      </c>
      <c r="P35" s="10" t="s">
        <v>611</v>
      </c>
      <c r="Q35" s="20"/>
      <c r="R35" s="10"/>
      <c r="S35" s="7"/>
      <c r="T35" s="10"/>
      <c r="U35" s="11"/>
    </row>
    <row r="36" spans="1:21" x14ac:dyDescent="0.25">
      <c r="A36" s="12" t="s">
        <v>71</v>
      </c>
      <c r="B36" s="19">
        <f t="shared" si="0"/>
        <v>2</v>
      </c>
      <c r="C36" s="13" t="s">
        <v>5</v>
      </c>
      <c r="D36" s="13" t="s">
        <v>5</v>
      </c>
      <c r="E36" s="51" t="s">
        <v>323</v>
      </c>
      <c r="F36" s="16">
        <v>44119</v>
      </c>
      <c r="G36" s="14" t="s">
        <v>164</v>
      </c>
      <c r="H36" s="16">
        <v>44104</v>
      </c>
      <c r="I36" s="15"/>
      <c r="J36" s="15" t="s">
        <v>196</v>
      </c>
      <c r="K36" s="35" t="s">
        <v>318</v>
      </c>
      <c r="L36" s="15"/>
      <c r="M36" s="35" t="s">
        <v>720</v>
      </c>
      <c r="N36" s="15"/>
      <c r="O36" s="15">
        <v>7600</v>
      </c>
      <c r="P36" s="15" t="s">
        <v>611</v>
      </c>
      <c r="Q36" s="21"/>
      <c r="R36" s="15"/>
      <c r="S36" s="17"/>
      <c r="T36" s="15"/>
      <c r="U36" s="5"/>
    </row>
    <row r="37" spans="1:21" x14ac:dyDescent="0.25">
      <c r="A37" s="6" t="s">
        <v>72</v>
      </c>
      <c r="B37" s="18">
        <f t="shared" si="0"/>
        <v>2</v>
      </c>
      <c r="C37" s="7" t="s">
        <v>8</v>
      </c>
      <c r="D37" s="7" t="s">
        <v>163</v>
      </c>
      <c r="E37" s="50" t="s">
        <v>695</v>
      </c>
      <c r="F37" s="9">
        <v>44131</v>
      </c>
      <c r="G37" s="8" t="s">
        <v>161</v>
      </c>
      <c r="H37" s="9">
        <v>44090</v>
      </c>
      <c r="I37" s="10"/>
      <c r="J37" s="10" t="s">
        <v>247</v>
      </c>
      <c r="K37" s="36" t="s">
        <v>814</v>
      </c>
      <c r="L37" s="10"/>
      <c r="M37" s="36" t="s">
        <v>721</v>
      </c>
      <c r="N37" s="10"/>
      <c r="O37" s="10">
        <v>23374</v>
      </c>
      <c r="P37" s="10" t="s">
        <v>612</v>
      </c>
      <c r="Q37" s="20"/>
      <c r="R37" s="10"/>
      <c r="S37" s="7"/>
      <c r="T37" s="10"/>
      <c r="U37" s="11"/>
    </row>
    <row r="38" spans="1:21" x14ac:dyDescent="0.25">
      <c r="A38" s="12" t="s">
        <v>73</v>
      </c>
      <c r="B38" s="19">
        <f t="shared" si="0"/>
        <v>3</v>
      </c>
      <c r="C38" s="13" t="s">
        <v>7</v>
      </c>
      <c r="D38" s="13" t="s">
        <v>167</v>
      </c>
      <c r="E38" s="51" t="s">
        <v>554</v>
      </c>
      <c r="F38" s="16">
        <v>44105</v>
      </c>
      <c r="G38" s="14" t="s">
        <v>161</v>
      </c>
      <c r="H38" s="16">
        <v>44105</v>
      </c>
      <c r="I38" s="15"/>
      <c r="J38" s="15" t="s">
        <v>247</v>
      </c>
      <c r="K38" s="35" t="s">
        <v>815</v>
      </c>
      <c r="L38" s="15"/>
      <c r="M38" s="35" t="s">
        <v>722</v>
      </c>
      <c r="N38" s="15"/>
      <c r="O38" s="15">
        <v>17518</v>
      </c>
      <c r="P38" s="15" t="s">
        <v>613</v>
      </c>
      <c r="Q38" s="21"/>
      <c r="R38" s="15"/>
      <c r="S38" s="17"/>
      <c r="T38" s="15"/>
      <c r="U38" s="5"/>
    </row>
    <row r="39" spans="1:21" x14ac:dyDescent="0.25">
      <c r="A39" s="40" t="s">
        <v>74</v>
      </c>
      <c r="B39" s="41">
        <f t="shared" si="0"/>
        <v>3</v>
      </c>
      <c r="C39" s="42" t="s">
        <v>6</v>
      </c>
      <c r="D39" s="42" t="s">
        <v>6</v>
      </c>
      <c r="E39" s="52" t="s">
        <v>566</v>
      </c>
      <c r="F39" s="44">
        <v>44106</v>
      </c>
      <c r="G39" s="43" t="s">
        <v>161</v>
      </c>
      <c r="H39" s="44">
        <v>44106</v>
      </c>
      <c r="I39" s="45"/>
      <c r="J39" s="49">
        <v>5.0999999999999996</v>
      </c>
      <c r="K39" s="46"/>
      <c r="L39" s="45"/>
      <c r="M39" s="46" t="s">
        <v>723</v>
      </c>
      <c r="N39" s="45"/>
      <c r="O39" s="45">
        <v>5833004</v>
      </c>
      <c r="P39" s="45" t="s">
        <v>614</v>
      </c>
      <c r="Q39" s="49"/>
      <c r="R39" s="45"/>
      <c r="S39" s="42"/>
      <c r="T39" s="45"/>
      <c r="U39" s="48"/>
    </row>
    <row r="40" spans="1:21" ht="29.25" x14ac:dyDescent="0.25">
      <c r="A40" s="12" t="s">
        <v>75</v>
      </c>
      <c r="B40" s="19">
        <f t="shared" si="0"/>
        <v>3</v>
      </c>
      <c r="C40" s="13" t="s">
        <v>8</v>
      </c>
      <c r="D40" s="13" t="s">
        <v>163</v>
      </c>
      <c r="E40" s="51" t="s">
        <v>696</v>
      </c>
      <c r="F40" s="16">
        <v>44110</v>
      </c>
      <c r="G40" s="14" t="s">
        <v>161</v>
      </c>
      <c r="H40" s="16">
        <v>44109</v>
      </c>
      <c r="I40" s="15"/>
      <c r="J40" s="15" t="s">
        <v>247</v>
      </c>
      <c r="K40" s="35" t="s">
        <v>816</v>
      </c>
      <c r="L40" s="15"/>
      <c r="M40" s="35" t="s">
        <v>724</v>
      </c>
      <c r="N40" s="15"/>
      <c r="O40" s="15">
        <v>23773</v>
      </c>
      <c r="P40" s="15" t="s">
        <v>615</v>
      </c>
      <c r="Q40" s="21"/>
      <c r="R40" s="15"/>
      <c r="S40" s="17"/>
      <c r="T40" s="15"/>
      <c r="U40" s="5"/>
    </row>
    <row r="41" spans="1:21" x14ac:dyDescent="0.25">
      <c r="A41" s="6" t="s">
        <v>76</v>
      </c>
      <c r="B41" s="18">
        <f t="shared" si="0"/>
        <v>3</v>
      </c>
      <c r="C41" s="7" t="s">
        <v>6</v>
      </c>
      <c r="D41" s="7" t="s">
        <v>6</v>
      </c>
      <c r="E41" s="50" t="s">
        <v>697</v>
      </c>
      <c r="F41" s="9">
        <v>44118</v>
      </c>
      <c r="G41" s="8" t="s">
        <v>38</v>
      </c>
      <c r="H41" s="9">
        <v>44111</v>
      </c>
      <c r="I41" s="10"/>
      <c r="J41" s="10" t="s">
        <v>196</v>
      </c>
      <c r="K41" s="36" t="s">
        <v>817</v>
      </c>
      <c r="L41" s="10"/>
      <c r="M41" s="36" t="s">
        <v>725</v>
      </c>
      <c r="N41" s="10"/>
      <c r="O41" s="10">
        <v>13380</v>
      </c>
      <c r="P41" s="10" t="s">
        <v>616</v>
      </c>
      <c r="Q41" s="20"/>
      <c r="R41" s="10"/>
      <c r="S41" s="7"/>
      <c r="T41" s="10"/>
      <c r="U41" s="11"/>
    </row>
    <row r="42" spans="1:21" x14ac:dyDescent="0.25">
      <c r="A42" s="40" t="s">
        <v>77</v>
      </c>
      <c r="B42" s="41">
        <f t="shared" si="0"/>
        <v>3</v>
      </c>
      <c r="C42" s="42" t="s">
        <v>5</v>
      </c>
      <c r="D42" s="42" t="s">
        <v>5</v>
      </c>
      <c r="E42" s="52" t="s">
        <v>698</v>
      </c>
      <c r="F42" s="44">
        <v>44119</v>
      </c>
      <c r="G42" s="43" t="s">
        <v>38</v>
      </c>
      <c r="H42" s="44">
        <v>44119</v>
      </c>
      <c r="I42" s="45"/>
      <c r="J42" s="45" t="s">
        <v>246</v>
      </c>
      <c r="K42" s="46" t="s">
        <v>818</v>
      </c>
      <c r="L42" s="45" t="s">
        <v>819</v>
      </c>
      <c r="M42" s="46" t="s">
        <v>726</v>
      </c>
      <c r="N42" s="45"/>
      <c r="O42" s="45">
        <v>2812</v>
      </c>
      <c r="P42" s="45" t="s">
        <v>617</v>
      </c>
      <c r="Q42" s="49"/>
      <c r="R42" s="45"/>
      <c r="S42" s="42"/>
      <c r="T42" s="45"/>
      <c r="U42" s="48"/>
    </row>
    <row r="43" spans="1:21" x14ac:dyDescent="0.25">
      <c r="A43" s="6" t="s">
        <v>78</v>
      </c>
      <c r="B43" s="18">
        <f t="shared" si="0"/>
        <v>3</v>
      </c>
      <c r="C43" s="7" t="s">
        <v>6</v>
      </c>
      <c r="D43" s="7" t="s">
        <v>6</v>
      </c>
      <c r="E43" s="50" t="s">
        <v>697</v>
      </c>
      <c r="F43" s="9">
        <v>44120</v>
      </c>
      <c r="G43" s="8" t="s">
        <v>161</v>
      </c>
      <c r="H43" s="9">
        <v>44111</v>
      </c>
      <c r="I43" s="10"/>
      <c r="J43" s="10" t="s">
        <v>196</v>
      </c>
      <c r="K43" s="36" t="s">
        <v>817</v>
      </c>
      <c r="L43" s="10"/>
      <c r="M43" s="36" t="s">
        <v>725</v>
      </c>
      <c r="N43" s="10"/>
      <c r="O43" s="10">
        <v>13380</v>
      </c>
      <c r="P43" s="10" t="s">
        <v>616</v>
      </c>
      <c r="Q43" s="20"/>
      <c r="R43" s="10"/>
      <c r="S43" s="7"/>
      <c r="T43" s="10"/>
      <c r="U43" s="11"/>
    </row>
    <row r="44" spans="1:21" x14ac:dyDescent="0.25">
      <c r="A44" s="12" t="s">
        <v>79</v>
      </c>
      <c r="B44" s="19">
        <f t="shared" si="0"/>
        <v>3</v>
      </c>
      <c r="C44" s="13" t="s">
        <v>7</v>
      </c>
      <c r="D44" s="13" t="s">
        <v>182</v>
      </c>
      <c r="E44" s="51" t="s">
        <v>590</v>
      </c>
      <c r="F44" s="16">
        <v>44123</v>
      </c>
      <c r="G44" s="14" t="s">
        <v>38</v>
      </c>
      <c r="H44" s="16">
        <v>44123</v>
      </c>
      <c r="I44" s="15"/>
      <c r="J44" s="15" t="s">
        <v>246</v>
      </c>
      <c r="K44" s="35" t="s">
        <v>820</v>
      </c>
      <c r="L44" s="15"/>
      <c r="M44" s="35" t="s">
        <v>727</v>
      </c>
      <c r="N44" s="15"/>
      <c r="O44" s="15">
        <v>9704</v>
      </c>
      <c r="P44" s="15" t="s">
        <v>618</v>
      </c>
      <c r="Q44" s="21"/>
      <c r="R44" s="15"/>
      <c r="S44" s="17"/>
      <c r="T44" s="15"/>
      <c r="U44" s="5"/>
    </row>
    <row r="45" spans="1:21" x14ac:dyDescent="0.25">
      <c r="A45" s="6" t="s">
        <v>80</v>
      </c>
      <c r="B45" s="18">
        <f t="shared" si="0"/>
        <v>3</v>
      </c>
      <c r="C45" s="7" t="s">
        <v>8</v>
      </c>
      <c r="D45" s="7" t="s">
        <v>163</v>
      </c>
      <c r="E45" s="50" t="s">
        <v>699</v>
      </c>
      <c r="F45" s="9">
        <v>44125</v>
      </c>
      <c r="G45" s="8" t="s">
        <v>164</v>
      </c>
      <c r="H45" s="9">
        <v>44125</v>
      </c>
      <c r="I45" s="10"/>
      <c r="J45" s="10" t="s">
        <v>434</v>
      </c>
      <c r="K45" s="36" t="s">
        <v>821</v>
      </c>
      <c r="L45" s="10" t="s">
        <v>822</v>
      </c>
      <c r="M45" s="36" t="s">
        <v>728</v>
      </c>
      <c r="N45" s="10"/>
      <c r="O45" s="10">
        <v>4292719</v>
      </c>
      <c r="P45" s="10" t="s">
        <v>619</v>
      </c>
      <c r="Q45" s="20"/>
      <c r="R45" s="10"/>
      <c r="S45" s="7"/>
      <c r="T45" s="10"/>
      <c r="U45" s="11"/>
    </row>
    <row r="46" spans="1:21" x14ac:dyDescent="0.25">
      <c r="A46" s="40" t="s">
        <v>81</v>
      </c>
      <c r="B46" s="41">
        <f t="shared" si="0"/>
        <v>3</v>
      </c>
      <c r="C46" s="42" t="s">
        <v>6</v>
      </c>
      <c r="D46" s="42" t="s">
        <v>6</v>
      </c>
      <c r="E46" s="52" t="s">
        <v>559</v>
      </c>
      <c r="F46" s="44">
        <v>44127</v>
      </c>
      <c r="G46" s="43" t="s">
        <v>161</v>
      </c>
      <c r="H46" s="44">
        <v>44127</v>
      </c>
      <c r="I46" s="45"/>
      <c r="J46" s="45" t="s">
        <v>196</v>
      </c>
      <c r="K46" s="46" t="s">
        <v>363</v>
      </c>
      <c r="L46" s="45"/>
      <c r="M46" s="46"/>
      <c r="N46" s="45"/>
      <c r="O46" s="45">
        <v>8803174</v>
      </c>
      <c r="P46" s="45" t="s">
        <v>620</v>
      </c>
      <c r="Q46" s="49"/>
      <c r="R46" s="45"/>
      <c r="S46" s="42"/>
      <c r="T46" s="45"/>
      <c r="U46" s="48"/>
    </row>
    <row r="47" spans="1:21" x14ac:dyDescent="0.25">
      <c r="A47" s="6" t="s">
        <v>82</v>
      </c>
      <c r="B47" s="18">
        <f t="shared" si="0"/>
        <v>3</v>
      </c>
      <c r="C47" s="7" t="s">
        <v>6</v>
      </c>
      <c r="D47" s="7" t="s">
        <v>6</v>
      </c>
      <c r="E47" s="50" t="s">
        <v>339</v>
      </c>
      <c r="F47" s="9">
        <v>44127</v>
      </c>
      <c r="G47" s="8" t="s">
        <v>161</v>
      </c>
      <c r="H47" s="9">
        <v>44126</v>
      </c>
      <c r="I47" s="10"/>
      <c r="J47" s="10" t="s">
        <v>247</v>
      </c>
      <c r="K47" s="36" t="s">
        <v>823</v>
      </c>
      <c r="L47" s="10"/>
      <c r="M47" s="36" t="s">
        <v>729</v>
      </c>
      <c r="N47" s="10"/>
      <c r="O47" s="10">
        <v>2213432</v>
      </c>
      <c r="P47" s="10" t="s">
        <v>621</v>
      </c>
      <c r="Q47" s="20"/>
      <c r="R47" s="10"/>
      <c r="S47" s="7"/>
      <c r="T47" s="10"/>
      <c r="U47" s="11"/>
    </row>
    <row r="48" spans="1:21" x14ac:dyDescent="0.25">
      <c r="A48" s="40" t="s">
        <v>83</v>
      </c>
      <c r="B48" s="41">
        <f t="shared" si="0"/>
        <v>3</v>
      </c>
      <c r="C48" s="42" t="s">
        <v>6</v>
      </c>
      <c r="D48" s="42" t="s">
        <v>6</v>
      </c>
      <c r="E48" s="52" t="s">
        <v>700</v>
      </c>
      <c r="F48" s="44">
        <v>44132</v>
      </c>
      <c r="G48" s="43" t="s">
        <v>38</v>
      </c>
      <c r="H48" s="44">
        <v>44133</v>
      </c>
      <c r="I48" s="45"/>
      <c r="J48" s="45" t="s">
        <v>246</v>
      </c>
      <c r="K48" s="46" t="s">
        <v>239</v>
      </c>
      <c r="L48" s="45"/>
      <c r="M48" s="46" t="s">
        <v>730</v>
      </c>
      <c r="N48" s="45"/>
      <c r="O48" s="45">
        <v>6238</v>
      </c>
      <c r="P48" s="45" t="s">
        <v>617</v>
      </c>
      <c r="Q48" s="49"/>
      <c r="R48" s="45"/>
      <c r="S48" s="42"/>
      <c r="T48" s="45"/>
      <c r="U48" s="48"/>
    </row>
    <row r="49" spans="1:21" x14ac:dyDescent="0.25">
      <c r="A49" s="6" t="s">
        <v>84</v>
      </c>
      <c r="B49" s="18">
        <f t="shared" si="0"/>
        <v>3</v>
      </c>
      <c r="C49" s="7" t="s">
        <v>5</v>
      </c>
      <c r="D49" s="7" t="s">
        <v>5</v>
      </c>
      <c r="E49" s="50" t="s">
        <v>698</v>
      </c>
      <c r="F49" s="9">
        <v>44133</v>
      </c>
      <c r="G49" s="8" t="s">
        <v>164</v>
      </c>
      <c r="H49" s="9">
        <v>44110</v>
      </c>
      <c r="I49" s="10"/>
      <c r="J49" s="10" t="s">
        <v>246</v>
      </c>
      <c r="K49" s="36" t="s">
        <v>824</v>
      </c>
      <c r="L49" s="10"/>
      <c r="M49" s="36" t="s">
        <v>726</v>
      </c>
      <c r="N49" s="10"/>
      <c r="O49" s="10">
        <v>2812</v>
      </c>
      <c r="P49" s="10" t="s">
        <v>622</v>
      </c>
      <c r="Q49" s="20"/>
      <c r="R49" s="10"/>
      <c r="S49" s="7"/>
      <c r="T49" s="10"/>
      <c r="U49" s="11"/>
    </row>
    <row r="50" spans="1:21" x14ac:dyDescent="0.25">
      <c r="A50" s="12" t="s">
        <v>85</v>
      </c>
      <c r="B50" s="19">
        <f t="shared" si="0"/>
        <v>3</v>
      </c>
      <c r="C50" s="13" t="s">
        <v>5</v>
      </c>
      <c r="D50" s="13" t="s">
        <v>5</v>
      </c>
      <c r="E50" s="51" t="s">
        <v>698</v>
      </c>
      <c r="F50" s="16">
        <v>44133</v>
      </c>
      <c r="G50" s="14" t="s">
        <v>161</v>
      </c>
      <c r="H50" s="16">
        <v>44127</v>
      </c>
      <c r="I50" s="15"/>
      <c r="J50" s="15" t="s">
        <v>246</v>
      </c>
      <c r="K50" s="35" t="s">
        <v>825</v>
      </c>
      <c r="L50" s="15"/>
      <c r="M50" s="35" t="s">
        <v>726</v>
      </c>
      <c r="N50" s="15"/>
      <c r="O50" s="15">
        <v>2812</v>
      </c>
      <c r="P50" s="15" t="s">
        <v>622</v>
      </c>
      <c r="Q50" s="21"/>
      <c r="R50" s="15"/>
      <c r="S50" s="17"/>
      <c r="T50" s="15"/>
      <c r="U50" s="5"/>
    </row>
    <row r="51" spans="1:21" ht="29.25" x14ac:dyDescent="0.25">
      <c r="A51" s="6" t="s">
        <v>86</v>
      </c>
      <c r="B51" s="18">
        <f t="shared" si="0"/>
        <v>3</v>
      </c>
      <c r="C51" s="7" t="s">
        <v>7</v>
      </c>
      <c r="D51" s="7" t="s">
        <v>167</v>
      </c>
      <c r="E51" s="50" t="s">
        <v>554</v>
      </c>
      <c r="F51" s="9">
        <v>44134</v>
      </c>
      <c r="G51" s="8" t="s">
        <v>161</v>
      </c>
      <c r="H51" s="9">
        <v>44134</v>
      </c>
      <c r="I51" s="10"/>
      <c r="J51" s="10" t="s">
        <v>247</v>
      </c>
      <c r="K51" s="36" t="s">
        <v>826</v>
      </c>
      <c r="L51" s="10"/>
      <c r="M51" s="36" t="s">
        <v>731</v>
      </c>
      <c r="N51" s="10"/>
      <c r="O51" s="10">
        <v>17700</v>
      </c>
      <c r="P51" s="10" t="s">
        <v>623</v>
      </c>
      <c r="Q51" s="20"/>
      <c r="R51" s="10"/>
      <c r="S51" s="7"/>
      <c r="T51" s="10"/>
      <c r="U51" s="11"/>
    </row>
    <row r="52" spans="1:21" x14ac:dyDescent="0.25">
      <c r="A52" s="40" t="s">
        <v>87</v>
      </c>
      <c r="B52" s="41">
        <f t="shared" si="0"/>
        <v>3</v>
      </c>
      <c r="C52" s="42" t="s">
        <v>8</v>
      </c>
      <c r="D52" s="42" t="s">
        <v>163</v>
      </c>
      <c r="E52" s="52" t="s">
        <v>701</v>
      </c>
      <c r="F52" s="44">
        <v>44134</v>
      </c>
      <c r="G52" s="43" t="s">
        <v>164</v>
      </c>
      <c r="H52" s="44">
        <v>44132</v>
      </c>
      <c r="I52" s="45"/>
      <c r="J52" s="45" t="s">
        <v>409</v>
      </c>
      <c r="K52" s="46" t="s">
        <v>827</v>
      </c>
      <c r="L52" s="45"/>
      <c r="M52" s="46" t="s">
        <v>732</v>
      </c>
      <c r="N52" s="45"/>
      <c r="O52" s="45">
        <v>3151</v>
      </c>
      <c r="P52" s="45" t="s">
        <v>624</v>
      </c>
      <c r="Q52" s="49"/>
      <c r="R52" s="45"/>
      <c r="S52" s="42"/>
      <c r="T52" s="45"/>
      <c r="U52" s="48"/>
    </row>
    <row r="53" spans="1:21" x14ac:dyDescent="0.25">
      <c r="A53" s="40" t="s">
        <v>88</v>
      </c>
      <c r="B53" s="41">
        <f t="shared" si="0"/>
        <v>3</v>
      </c>
      <c r="C53" s="42" t="s">
        <v>8</v>
      </c>
      <c r="D53" s="42" t="s">
        <v>163</v>
      </c>
      <c r="E53" s="52" t="s">
        <v>701</v>
      </c>
      <c r="F53" s="44">
        <v>44137</v>
      </c>
      <c r="G53" s="43" t="s">
        <v>38</v>
      </c>
      <c r="H53" s="44">
        <v>44106</v>
      </c>
      <c r="I53" s="45"/>
      <c r="J53" s="45" t="s">
        <v>409</v>
      </c>
      <c r="K53" s="46" t="s">
        <v>827</v>
      </c>
      <c r="L53" s="45"/>
      <c r="M53" s="46" t="s">
        <v>732</v>
      </c>
      <c r="N53" s="45"/>
      <c r="O53" s="45">
        <v>3151</v>
      </c>
      <c r="P53" s="45"/>
      <c r="Q53" s="49"/>
      <c r="R53" s="45"/>
      <c r="S53" s="42"/>
      <c r="T53" s="45"/>
      <c r="U53" s="48"/>
    </row>
    <row r="54" spans="1:21" ht="29.25" x14ac:dyDescent="0.25">
      <c r="A54" s="12" t="s">
        <v>89</v>
      </c>
      <c r="B54" s="19">
        <f t="shared" si="0"/>
        <v>3</v>
      </c>
      <c r="C54" s="13" t="s">
        <v>6</v>
      </c>
      <c r="D54" s="13" t="s">
        <v>6</v>
      </c>
      <c r="E54" s="51" t="s">
        <v>702</v>
      </c>
      <c r="F54" s="16">
        <v>44139</v>
      </c>
      <c r="G54" s="14" t="s">
        <v>161</v>
      </c>
      <c r="H54" s="16">
        <v>44134</v>
      </c>
      <c r="I54" s="15"/>
      <c r="J54" s="15" t="s">
        <v>828</v>
      </c>
      <c r="K54" s="35" t="s">
        <v>829</v>
      </c>
      <c r="L54" s="15"/>
      <c r="M54" s="35" t="s">
        <v>733</v>
      </c>
      <c r="N54" s="15"/>
      <c r="O54" s="15">
        <v>14500</v>
      </c>
      <c r="P54" s="15" t="s">
        <v>625</v>
      </c>
      <c r="Q54" s="21"/>
      <c r="R54" s="15"/>
      <c r="S54" s="17"/>
      <c r="T54" s="15"/>
      <c r="U54" s="5"/>
    </row>
    <row r="55" spans="1:21" x14ac:dyDescent="0.25">
      <c r="A55" s="6" t="s">
        <v>90</v>
      </c>
      <c r="B55" s="18">
        <f t="shared" si="0"/>
        <v>3</v>
      </c>
      <c r="C55" s="7" t="s">
        <v>8</v>
      </c>
      <c r="D55" s="7" t="s">
        <v>163</v>
      </c>
      <c r="E55" s="50" t="s">
        <v>703</v>
      </c>
      <c r="F55" s="9">
        <v>44139</v>
      </c>
      <c r="G55" s="8" t="s">
        <v>164</v>
      </c>
      <c r="H55" s="9">
        <v>44139</v>
      </c>
      <c r="I55" s="10"/>
      <c r="J55" s="10" t="s">
        <v>434</v>
      </c>
      <c r="K55" s="36" t="s">
        <v>830</v>
      </c>
      <c r="L55" s="10"/>
      <c r="M55" s="36" t="s">
        <v>732</v>
      </c>
      <c r="N55" s="10"/>
      <c r="O55" s="10">
        <v>3151</v>
      </c>
      <c r="P55" s="10" t="s">
        <v>626</v>
      </c>
      <c r="Q55" s="20"/>
      <c r="R55" s="10"/>
      <c r="S55" s="7"/>
      <c r="T55" s="10"/>
      <c r="U55" s="11"/>
    </row>
    <row r="56" spans="1:21" x14ac:dyDescent="0.25">
      <c r="A56" s="12" t="s">
        <v>91</v>
      </c>
      <c r="B56" s="19">
        <f t="shared" si="0"/>
        <v>3</v>
      </c>
      <c r="C56" s="13" t="s">
        <v>6</v>
      </c>
      <c r="D56" s="13" t="s">
        <v>6</v>
      </c>
      <c r="E56" s="51" t="s">
        <v>704</v>
      </c>
      <c r="F56" s="16">
        <v>44145</v>
      </c>
      <c r="G56" s="14" t="s">
        <v>161</v>
      </c>
      <c r="H56" s="16">
        <v>44145</v>
      </c>
      <c r="I56" s="15"/>
      <c r="J56" s="15" t="s">
        <v>196</v>
      </c>
      <c r="K56" s="35" t="s">
        <v>831</v>
      </c>
      <c r="L56" s="15"/>
      <c r="M56" s="35" t="s">
        <v>734</v>
      </c>
      <c r="N56" s="15"/>
      <c r="O56" s="15">
        <v>13597</v>
      </c>
      <c r="P56" s="15" t="s">
        <v>627</v>
      </c>
      <c r="Q56" s="21"/>
      <c r="R56" s="15"/>
      <c r="S56" s="17"/>
      <c r="T56" s="15"/>
      <c r="U56" s="5"/>
    </row>
    <row r="57" spans="1:21" x14ac:dyDescent="0.25">
      <c r="A57" s="40" t="s">
        <v>92</v>
      </c>
      <c r="B57" s="41">
        <f t="shared" si="0"/>
        <v>3</v>
      </c>
      <c r="C57" s="42" t="s">
        <v>8</v>
      </c>
      <c r="D57" s="42" t="s">
        <v>163</v>
      </c>
      <c r="E57" s="52" t="s">
        <v>703</v>
      </c>
      <c r="F57" s="44">
        <v>44147</v>
      </c>
      <c r="G57" s="43" t="s">
        <v>161</v>
      </c>
      <c r="H57" s="44">
        <v>44147</v>
      </c>
      <c r="I57" s="45"/>
      <c r="J57" s="45" t="s">
        <v>434</v>
      </c>
      <c r="K57" s="46" t="s">
        <v>832</v>
      </c>
      <c r="L57" s="45" t="s">
        <v>833</v>
      </c>
      <c r="M57" s="46" t="s">
        <v>732</v>
      </c>
      <c r="N57" s="45" t="s">
        <v>735</v>
      </c>
      <c r="O57" s="45">
        <v>3151</v>
      </c>
      <c r="P57" s="45" t="s">
        <v>626</v>
      </c>
      <c r="Q57" s="49"/>
      <c r="R57" s="45"/>
      <c r="S57" s="42"/>
      <c r="T57" s="45"/>
      <c r="U57" s="48"/>
    </row>
    <row r="58" spans="1:21" x14ac:dyDescent="0.25">
      <c r="A58" s="12" t="s">
        <v>93</v>
      </c>
      <c r="B58" s="19">
        <f t="shared" si="0"/>
        <v>3</v>
      </c>
      <c r="C58" s="13" t="s">
        <v>8</v>
      </c>
      <c r="D58" s="13" t="s">
        <v>163</v>
      </c>
      <c r="E58" s="51" t="s">
        <v>705</v>
      </c>
      <c r="F58" s="16">
        <v>44151</v>
      </c>
      <c r="G58" s="14" t="s">
        <v>161</v>
      </c>
      <c r="H58" s="16">
        <v>44151</v>
      </c>
      <c r="I58" s="15"/>
      <c r="J58" s="15" t="s">
        <v>834</v>
      </c>
      <c r="K58" s="35" t="s">
        <v>835</v>
      </c>
      <c r="L58" s="15"/>
      <c r="M58" s="35" t="s">
        <v>736</v>
      </c>
      <c r="N58" s="15"/>
      <c r="O58" s="15">
        <v>4112836</v>
      </c>
      <c r="P58" s="15" t="s">
        <v>628</v>
      </c>
      <c r="Q58" s="21"/>
      <c r="R58" s="15"/>
      <c r="S58" s="17"/>
      <c r="T58" s="15"/>
      <c r="U58" s="5"/>
    </row>
    <row r="59" spans="1:21" x14ac:dyDescent="0.25">
      <c r="A59" s="6" t="s">
        <v>94</v>
      </c>
      <c r="B59" s="18">
        <f t="shared" si="0"/>
        <v>3</v>
      </c>
      <c r="C59" s="7" t="s">
        <v>8</v>
      </c>
      <c r="D59" s="7" t="s">
        <v>163</v>
      </c>
      <c r="E59" s="50" t="s">
        <v>696</v>
      </c>
      <c r="F59" s="9">
        <v>44152</v>
      </c>
      <c r="G59" s="8" t="s">
        <v>161</v>
      </c>
      <c r="H59" s="9">
        <v>44141</v>
      </c>
      <c r="I59" s="10"/>
      <c r="J59" s="10" t="s">
        <v>836</v>
      </c>
      <c r="K59" s="36" t="s">
        <v>837</v>
      </c>
      <c r="L59" s="10"/>
      <c r="M59" s="36" t="s">
        <v>737</v>
      </c>
      <c r="N59" s="10"/>
      <c r="O59" s="10">
        <v>23412</v>
      </c>
      <c r="P59" s="10" t="s">
        <v>629</v>
      </c>
      <c r="Q59" s="20"/>
      <c r="R59" s="10"/>
      <c r="S59" s="7"/>
      <c r="T59" s="10"/>
      <c r="U59" s="11"/>
    </row>
    <row r="60" spans="1:21" x14ac:dyDescent="0.25">
      <c r="A60" s="40" t="s">
        <v>95</v>
      </c>
      <c r="B60" s="41">
        <f t="shared" si="0"/>
        <v>3</v>
      </c>
      <c r="C60" s="42" t="s">
        <v>6</v>
      </c>
      <c r="D60" s="42" t="s">
        <v>6</v>
      </c>
      <c r="E60" s="52" t="s">
        <v>339</v>
      </c>
      <c r="F60" s="44">
        <v>44153</v>
      </c>
      <c r="G60" s="43" t="s">
        <v>161</v>
      </c>
      <c r="H60" s="44">
        <v>44153</v>
      </c>
      <c r="I60" s="45"/>
      <c r="J60" s="45" t="s">
        <v>838</v>
      </c>
      <c r="K60" s="46" t="s">
        <v>839</v>
      </c>
      <c r="L60" s="45" t="s">
        <v>840</v>
      </c>
      <c r="M60" s="46" t="s">
        <v>738</v>
      </c>
      <c r="N60" s="45"/>
      <c r="O60" s="45">
        <v>2472737</v>
      </c>
      <c r="P60" s="45" t="s">
        <v>630</v>
      </c>
      <c r="Q60" s="49"/>
      <c r="R60" s="45"/>
      <c r="S60" s="42"/>
      <c r="T60" s="45"/>
      <c r="U60" s="48"/>
    </row>
    <row r="61" spans="1:21" x14ac:dyDescent="0.25">
      <c r="A61" s="40" t="s">
        <v>96</v>
      </c>
      <c r="B61" s="41">
        <f t="shared" si="0"/>
        <v>3</v>
      </c>
      <c r="C61" s="42" t="s">
        <v>6</v>
      </c>
      <c r="D61" s="42" t="s">
        <v>6</v>
      </c>
      <c r="E61" s="52" t="s">
        <v>339</v>
      </c>
      <c r="F61" s="44">
        <v>44155</v>
      </c>
      <c r="G61" s="43" t="s">
        <v>161</v>
      </c>
      <c r="H61" s="44">
        <v>44154</v>
      </c>
      <c r="I61" s="45"/>
      <c r="J61" s="45" t="s">
        <v>828</v>
      </c>
      <c r="K61" s="46" t="s">
        <v>841</v>
      </c>
      <c r="L61" s="45" t="s">
        <v>842</v>
      </c>
      <c r="M61" s="46" t="s">
        <v>739</v>
      </c>
      <c r="N61" s="45"/>
      <c r="O61" s="45">
        <v>7904266</v>
      </c>
      <c r="P61" s="45" t="s">
        <v>631</v>
      </c>
      <c r="Q61" s="49"/>
      <c r="R61" s="45"/>
      <c r="S61" s="42"/>
      <c r="T61" s="45"/>
      <c r="U61" s="48"/>
    </row>
    <row r="62" spans="1:21" x14ac:dyDescent="0.25">
      <c r="A62" s="40" t="s">
        <v>97</v>
      </c>
      <c r="B62" s="41">
        <f t="shared" si="0"/>
        <v>3</v>
      </c>
      <c r="C62" s="42" t="s">
        <v>8</v>
      </c>
      <c r="D62" s="42" t="s">
        <v>163</v>
      </c>
      <c r="E62" s="52" t="s">
        <v>263</v>
      </c>
      <c r="F62" s="44">
        <v>44165</v>
      </c>
      <c r="G62" s="43" t="s">
        <v>174</v>
      </c>
      <c r="H62" s="44">
        <v>44133</v>
      </c>
      <c r="I62" s="45"/>
      <c r="J62" s="45" t="s">
        <v>843</v>
      </c>
      <c r="K62" s="46" t="s">
        <v>844</v>
      </c>
      <c r="L62" s="45"/>
      <c r="M62" s="46" t="s">
        <v>740</v>
      </c>
      <c r="N62" s="45" t="s">
        <v>741</v>
      </c>
      <c r="O62" s="45">
        <v>19672</v>
      </c>
      <c r="P62" s="45" t="s">
        <v>632</v>
      </c>
      <c r="Q62" s="49"/>
      <c r="R62" s="45"/>
      <c r="S62" s="42"/>
      <c r="T62" s="45"/>
      <c r="U62" s="48"/>
    </row>
    <row r="63" spans="1:21" x14ac:dyDescent="0.25">
      <c r="A63" s="6" t="s">
        <v>98</v>
      </c>
      <c r="B63" s="18">
        <f t="shared" si="0"/>
        <v>3</v>
      </c>
      <c r="C63" s="7" t="s">
        <v>4</v>
      </c>
      <c r="D63" s="7" t="s">
        <v>170</v>
      </c>
      <c r="E63" s="50" t="s">
        <v>706</v>
      </c>
      <c r="F63" s="9">
        <v>44160</v>
      </c>
      <c r="G63" s="8" t="s">
        <v>164</v>
      </c>
      <c r="H63" s="9">
        <v>44160</v>
      </c>
      <c r="I63" s="10"/>
      <c r="J63" s="10">
        <v>5.0999999999999996</v>
      </c>
      <c r="K63" s="36" t="s">
        <v>524</v>
      </c>
      <c r="L63" s="10"/>
      <c r="M63" s="36" t="s">
        <v>742</v>
      </c>
      <c r="N63" s="10" t="s">
        <v>743</v>
      </c>
      <c r="O63" s="10">
        <v>8002965</v>
      </c>
      <c r="P63" s="10" t="s">
        <v>633</v>
      </c>
      <c r="Q63" s="20"/>
      <c r="R63" s="10"/>
      <c r="S63" s="7"/>
      <c r="T63" s="10"/>
      <c r="U63" s="11"/>
    </row>
    <row r="64" spans="1:21" ht="29.25" x14ac:dyDescent="0.25">
      <c r="A64" s="12" t="s">
        <v>99</v>
      </c>
      <c r="B64" s="19">
        <f t="shared" si="0"/>
        <v>3</v>
      </c>
      <c r="C64" s="13" t="s">
        <v>4</v>
      </c>
      <c r="D64" s="13" t="s">
        <v>170</v>
      </c>
      <c r="E64" s="51" t="s">
        <v>420</v>
      </c>
      <c r="F64" s="16">
        <v>44173</v>
      </c>
      <c r="G64" s="14" t="s">
        <v>161</v>
      </c>
      <c r="H64" s="16">
        <v>44173</v>
      </c>
      <c r="I64" s="15"/>
      <c r="J64" s="15" t="s">
        <v>845</v>
      </c>
      <c r="K64" s="35" t="s">
        <v>846</v>
      </c>
      <c r="L64" s="15"/>
      <c r="M64" s="35" t="s">
        <v>744</v>
      </c>
      <c r="N64" s="15"/>
      <c r="O64" s="15">
        <v>2132</v>
      </c>
      <c r="P64" s="15" t="s">
        <v>634</v>
      </c>
      <c r="Q64" s="21"/>
      <c r="R64" s="15"/>
      <c r="S64" s="17"/>
      <c r="T64" s="15"/>
      <c r="U64" s="5"/>
    </row>
    <row r="65" spans="1:21" x14ac:dyDescent="0.25">
      <c r="A65" s="6" t="s">
        <v>100</v>
      </c>
      <c r="B65" s="18">
        <f t="shared" si="0"/>
        <v>3</v>
      </c>
      <c r="C65" s="7" t="s">
        <v>8</v>
      </c>
      <c r="D65" s="7" t="s">
        <v>163</v>
      </c>
      <c r="E65" s="50" t="s">
        <v>707</v>
      </c>
      <c r="F65" s="9">
        <v>44172</v>
      </c>
      <c r="G65" s="8" t="s">
        <v>164</v>
      </c>
      <c r="H65" s="9">
        <v>44169</v>
      </c>
      <c r="I65" s="10"/>
      <c r="J65" s="10" t="s">
        <v>246</v>
      </c>
      <c r="K65" s="36" t="s">
        <v>811</v>
      </c>
      <c r="L65" s="10"/>
      <c r="M65" s="36" t="s">
        <v>745</v>
      </c>
      <c r="N65" s="10"/>
      <c r="O65" s="10">
        <v>23788</v>
      </c>
      <c r="P65" s="10" t="s">
        <v>635</v>
      </c>
      <c r="Q65" s="20" t="s">
        <v>1176</v>
      </c>
      <c r="R65" s="10"/>
      <c r="S65" s="7"/>
      <c r="T65" s="10"/>
      <c r="U65" s="11"/>
    </row>
    <row r="66" spans="1:21" x14ac:dyDescent="0.25">
      <c r="A66" s="40" t="s">
        <v>101</v>
      </c>
      <c r="B66" s="41">
        <f t="shared" si="0"/>
        <v>3</v>
      </c>
      <c r="C66" s="42" t="s">
        <v>5</v>
      </c>
      <c r="D66" s="42" t="s">
        <v>5</v>
      </c>
      <c r="E66" s="52" t="s">
        <v>323</v>
      </c>
      <c r="F66" s="44">
        <v>44174</v>
      </c>
      <c r="G66" s="43" t="s">
        <v>38</v>
      </c>
      <c r="H66" s="44">
        <v>44174</v>
      </c>
      <c r="I66" s="45"/>
      <c r="J66" s="45"/>
      <c r="K66" s="46"/>
      <c r="L66" s="45"/>
      <c r="M66" s="46" t="s">
        <v>746</v>
      </c>
      <c r="N66" s="45"/>
      <c r="O66" s="45">
        <v>1052592</v>
      </c>
      <c r="P66" s="45"/>
      <c r="Q66" s="49"/>
      <c r="R66" s="45"/>
      <c r="S66" s="42"/>
      <c r="T66" s="45"/>
      <c r="U66" s="48"/>
    </row>
    <row r="67" spans="1:21" x14ac:dyDescent="0.25">
      <c r="A67" s="6" t="s">
        <v>102</v>
      </c>
      <c r="B67" s="18">
        <f t="shared" ref="B67:B130" si="1">CHOOSE(MONTH(H67), 4,4,4,1,1,1,2,2,2,3,3,3)</f>
        <v>3</v>
      </c>
      <c r="C67" s="7" t="s">
        <v>8</v>
      </c>
      <c r="D67" s="7" t="s">
        <v>163</v>
      </c>
      <c r="E67" s="50" t="s">
        <v>433</v>
      </c>
      <c r="F67" s="9">
        <v>44176</v>
      </c>
      <c r="G67" s="8" t="s">
        <v>161</v>
      </c>
      <c r="H67" s="9">
        <v>44169</v>
      </c>
      <c r="I67" s="10"/>
      <c r="J67" s="10" t="s">
        <v>847</v>
      </c>
      <c r="K67" s="36" t="s">
        <v>848</v>
      </c>
      <c r="L67" s="10"/>
      <c r="M67" s="36" t="s">
        <v>747</v>
      </c>
      <c r="N67" s="10"/>
      <c r="O67" s="10">
        <v>9054478</v>
      </c>
      <c r="P67" s="10" t="s">
        <v>636</v>
      </c>
      <c r="Q67" s="20"/>
      <c r="R67" s="10"/>
      <c r="S67" s="7"/>
      <c r="T67" s="10"/>
      <c r="U67" s="11"/>
    </row>
    <row r="68" spans="1:21" x14ac:dyDescent="0.25">
      <c r="A68" s="40" t="s">
        <v>103</v>
      </c>
      <c r="B68" s="41">
        <f t="shared" si="1"/>
        <v>3</v>
      </c>
      <c r="C68" s="42" t="s">
        <v>7</v>
      </c>
      <c r="D68" s="42" t="s">
        <v>183</v>
      </c>
      <c r="E68" s="52" t="s">
        <v>554</v>
      </c>
      <c r="F68" s="44">
        <v>44174</v>
      </c>
      <c r="G68" s="43" t="s">
        <v>161</v>
      </c>
      <c r="H68" s="44">
        <v>44174</v>
      </c>
      <c r="I68" s="45"/>
      <c r="J68" s="45"/>
      <c r="K68" s="46"/>
      <c r="L68" s="45"/>
      <c r="M68" s="46" t="s">
        <v>748</v>
      </c>
      <c r="N68" s="45"/>
      <c r="O68" s="45">
        <v>18485</v>
      </c>
      <c r="P68" s="45" t="s">
        <v>637</v>
      </c>
      <c r="Q68" s="49"/>
      <c r="R68" s="45"/>
      <c r="S68" s="42"/>
      <c r="T68" s="45"/>
      <c r="U68" s="48"/>
    </row>
    <row r="69" spans="1:21" x14ac:dyDescent="0.25">
      <c r="A69" s="6" t="s">
        <v>104</v>
      </c>
      <c r="B69" s="18">
        <f t="shared" si="1"/>
        <v>3</v>
      </c>
      <c r="C69" s="7" t="s">
        <v>8</v>
      </c>
      <c r="D69" s="7" t="s">
        <v>163</v>
      </c>
      <c r="E69" s="50" t="s">
        <v>701</v>
      </c>
      <c r="F69" s="9">
        <v>44176</v>
      </c>
      <c r="G69" s="8" t="s">
        <v>164</v>
      </c>
      <c r="H69" s="9">
        <v>44168</v>
      </c>
      <c r="I69" s="10"/>
      <c r="J69" s="10" t="s">
        <v>246</v>
      </c>
      <c r="K69" s="36" t="s">
        <v>849</v>
      </c>
      <c r="L69" s="10"/>
      <c r="M69" s="36" t="s">
        <v>749</v>
      </c>
      <c r="N69" s="10"/>
      <c r="O69" s="10">
        <v>22348</v>
      </c>
      <c r="P69" s="10" t="s">
        <v>638</v>
      </c>
      <c r="Q69" s="20"/>
      <c r="R69" s="10"/>
      <c r="S69" s="7"/>
      <c r="T69" s="10"/>
      <c r="U69" s="11"/>
    </row>
    <row r="70" spans="1:21" x14ac:dyDescent="0.25">
      <c r="A70" s="12" t="s">
        <v>105</v>
      </c>
      <c r="B70" s="19">
        <f t="shared" si="1"/>
        <v>3</v>
      </c>
      <c r="C70" s="13" t="s">
        <v>6</v>
      </c>
      <c r="D70" s="13" t="s">
        <v>6</v>
      </c>
      <c r="E70" s="51" t="s">
        <v>559</v>
      </c>
      <c r="F70" s="16">
        <v>44180</v>
      </c>
      <c r="G70" s="14" t="s">
        <v>161</v>
      </c>
      <c r="H70" s="16">
        <v>44158</v>
      </c>
      <c r="I70" s="15"/>
      <c r="J70" s="15" t="s">
        <v>196</v>
      </c>
      <c r="K70" s="35" t="s">
        <v>363</v>
      </c>
      <c r="L70" s="15"/>
      <c r="M70" s="35" t="s">
        <v>750</v>
      </c>
      <c r="N70" s="15"/>
      <c r="O70" s="15">
        <v>11770</v>
      </c>
      <c r="P70" s="15" t="s">
        <v>639</v>
      </c>
      <c r="Q70" s="21"/>
      <c r="R70" s="15"/>
      <c r="S70" s="17"/>
      <c r="T70" s="15"/>
      <c r="U70" s="5"/>
    </row>
    <row r="71" spans="1:21" x14ac:dyDescent="0.25">
      <c r="A71" s="40" t="s">
        <v>106</v>
      </c>
      <c r="B71" s="41">
        <f t="shared" si="1"/>
        <v>3</v>
      </c>
      <c r="C71" s="42" t="s">
        <v>8</v>
      </c>
      <c r="D71" s="42" t="s">
        <v>160</v>
      </c>
      <c r="E71" s="52" t="s">
        <v>263</v>
      </c>
      <c r="F71" s="44">
        <v>44182</v>
      </c>
      <c r="G71" s="43" t="s">
        <v>38</v>
      </c>
      <c r="H71" s="44">
        <v>44182</v>
      </c>
      <c r="I71" s="45"/>
      <c r="J71" s="45" t="s">
        <v>246</v>
      </c>
      <c r="K71" s="46" t="s">
        <v>850</v>
      </c>
      <c r="L71" s="45"/>
      <c r="M71" s="46" t="s">
        <v>751</v>
      </c>
      <c r="N71" s="45"/>
      <c r="O71" s="45">
        <v>22535</v>
      </c>
      <c r="P71" s="45" t="s">
        <v>640</v>
      </c>
      <c r="Q71" s="49"/>
      <c r="R71" s="45"/>
      <c r="S71" s="42"/>
      <c r="T71" s="45"/>
      <c r="U71" s="48"/>
    </row>
    <row r="72" spans="1:21" x14ac:dyDescent="0.25">
      <c r="A72" s="12" t="s">
        <v>107</v>
      </c>
      <c r="B72" s="19">
        <f t="shared" si="1"/>
        <v>3</v>
      </c>
      <c r="C72" s="13" t="s">
        <v>6</v>
      </c>
      <c r="D72" s="13" t="s">
        <v>6</v>
      </c>
      <c r="E72" s="51" t="s">
        <v>339</v>
      </c>
      <c r="F72" s="16">
        <v>44182</v>
      </c>
      <c r="G72" s="14" t="s">
        <v>161</v>
      </c>
      <c r="H72" s="16">
        <v>44182</v>
      </c>
      <c r="I72" s="15"/>
      <c r="J72" s="15" t="s">
        <v>247</v>
      </c>
      <c r="K72" s="35" t="s">
        <v>851</v>
      </c>
      <c r="L72" s="15"/>
      <c r="M72" s="35" t="s">
        <v>752</v>
      </c>
      <c r="N72" s="15"/>
      <c r="O72" s="15">
        <v>1873628</v>
      </c>
      <c r="P72" s="15" t="s">
        <v>641</v>
      </c>
      <c r="Q72" s="21"/>
      <c r="R72" s="15"/>
      <c r="S72" s="17"/>
      <c r="T72" s="15"/>
      <c r="U72" s="5"/>
    </row>
    <row r="73" spans="1:21" x14ac:dyDescent="0.25">
      <c r="A73" s="40" t="s">
        <v>108</v>
      </c>
      <c r="B73" s="41">
        <f t="shared" si="1"/>
        <v>3</v>
      </c>
      <c r="C73" s="42" t="s">
        <v>8</v>
      </c>
      <c r="D73" s="42" t="s">
        <v>163</v>
      </c>
      <c r="E73" s="52" t="s">
        <v>701</v>
      </c>
      <c r="F73" s="44">
        <v>44183</v>
      </c>
      <c r="G73" s="43" t="s">
        <v>38</v>
      </c>
      <c r="H73" s="44">
        <v>44183</v>
      </c>
      <c r="I73" s="45"/>
      <c r="J73" s="45" t="s">
        <v>852</v>
      </c>
      <c r="K73" s="46" t="s">
        <v>852</v>
      </c>
      <c r="L73" s="45"/>
      <c r="M73" s="46" t="s">
        <v>749</v>
      </c>
      <c r="N73" s="45"/>
      <c r="O73" s="45">
        <v>22348</v>
      </c>
      <c r="P73" s="45" t="s">
        <v>638</v>
      </c>
      <c r="Q73" s="49"/>
      <c r="R73" s="45"/>
      <c r="S73" s="42"/>
      <c r="T73" s="45"/>
      <c r="U73" s="48"/>
    </row>
    <row r="74" spans="1:21" x14ac:dyDescent="0.25">
      <c r="A74" s="12" t="s">
        <v>109</v>
      </c>
      <c r="B74" s="19">
        <f t="shared" si="1"/>
        <v>3</v>
      </c>
      <c r="C74" s="13" t="s">
        <v>8</v>
      </c>
      <c r="D74" s="13" t="s">
        <v>163</v>
      </c>
      <c r="E74" s="51" t="s">
        <v>696</v>
      </c>
      <c r="F74" s="16">
        <v>44187</v>
      </c>
      <c r="G74" s="14" t="s">
        <v>161</v>
      </c>
      <c r="H74" s="16">
        <v>44166</v>
      </c>
      <c r="I74" s="15"/>
      <c r="J74" s="15" t="s">
        <v>247</v>
      </c>
      <c r="K74" s="35" t="s">
        <v>853</v>
      </c>
      <c r="L74" s="15"/>
      <c r="M74" s="35" t="s">
        <v>753</v>
      </c>
      <c r="N74" s="15"/>
      <c r="O74" s="15">
        <v>23729</v>
      </c>
      <c r="P74" s="15" t="s">
        <v>642</v>
      </c>
      <c r="Q74" s="21"/>
      <c r="R74" s="15"/>
      <c r="S74" s="17"/>
      <c r="T74" s="15"/>
      <c r="U74" s="5"/>
    </row>
    <row r="75" spans="1:21" x14ac:dyDescent="0.25">
      <c r="A75" s="6" t="s">
        <v>110</v>
      </c>
      <c r="B75" s="18">
        <f t="shared" si="1"/>
        <v>3</v>
      </c>
      <c r="C75" s="7" t="s">
        <v>7</v>
      </c>
      <c r="D75" s="7" t="s">
        <v>167</v>
      </c>
      <c r="E75" s="50" t="s">
        <v>483</v>
      </c>
      <c r="F75" s="9">
        <v>44195</v>
      </c>
      <c r="G75" s="8" t="s">
        <v>161</v>
      </c>
      <c r="H75" s="9">
        <v>44194</v>
      </c>
      <c r="I75" s="10"/>
      <c r="J75" s="10" t="s">
        <v>854</v>
      </c>
      <c r="K75" s="36" t="s">
        <v>855</v>
      </c>
      <c r="L75" s="10"/>
      <c r="M75" s="36" t="s">
        <v>754</v>
      </c>
      <c r="N75" s="10"/>
      <c r="O75" s="10">
        <v>1034150</v>
      </c>
      <c r="P75" s="10" t="s">
        <v>643</v>
      </c>
      <c r="Q75" s="20"/>
      <c r="R75" s="10"/>
      <c r="S75" s="7"/>
      <c r="T75" s="10"/>
      <c r="U75" s="11"/>
    </row>
    <row r="76" spans="1:21" x14ac:dyDescent="0.25">
      <c r="A76" s="12" t="s">
        <v>111</v>
      </c>
      <c r="B76" s="19">
        <f t="shared" si="1"/>
        <v>3</v>
      </c>
      <c r="C76" s="13" t="s">
        <v>7</v>
      </c>
      <c r="D76" s="13" t="s">
        <v>167</v>
      </c>
      <c r="E76" s="51" t="s">
        <v>708</v>
      </c>
      <c r="F76" s="16">
        <v>44204</v>
      </c>
      <c r="G76" s="14" t="s">
        <v>161</v>
      </c>
      <c r="H76" s="16">
        <v>44188</v>
      </c>
      <c r="I76" s="15"/>
      <c r="J76" s="15" t="s">
        <v>247</v>
      </c>
      <c r="K76" s="35" t="s">
        <v>856</v>
      </c>
      <c r="L76" s="15"/>
      <c r="M76" s="35" t="s">
        <v>755</v>
      </c>
      <c r="N76" s="15"/>
      <c r="O76" s="15">
        <v>17840</v>
      </c>
      <c r="P76" s="15" t="s">
        <v>644</v>
      </c>
      <c r="Q76" s="21"/>
      <c r="R76" s="15"/>
      <c r="S76" s="17"/>
      <c r="T76" s="15"/>
      <c r="U76" s="5"/>
    </row>
    <row r="77" spans="1:21" x14ac:dyDescent="0.25">
      <c r="A77" s="6" t="s">
        <v>112</v>
      </c>
      <c r="B77" s="18">
        <f t="shared" si="1"/>
        <v>3</v>
      </c>
      <c r="C77" s="7" t="s">
        <v>8</v>
      </c>
      <c r="D77" s="7" t="s">
        <v>163</v>
      </c>
      <c r="E77" s="50" t="s">
        <v>433</v>
      </c>
      <c r="F77" s="9">
        <v>44207</v>
      </c>
      <c r="G77" s="8" t="s">
        <v>164</v>
      </c>
      <c r="H77" s="9">
        <v>44168</v>
      </c>
      <c r="I77" s="10"/>
      <c r="J77" s="10" t="s">
        <v>196</v>
      </c>
      <c r="K77" s="36" t="s">
        <v>455</v>
      </c>
      <c r="L77" s="10"/>
      <c r="M77" s="36" t="s">
        <v>756</v>
      </c>
      <c r="N77" s="10" t="s">
        <v>757</v>
      </c>
      <c r="O77" s="10">
        <v>9054478</v>
      </c>
      <c r="P77" s="10" t="s">
        <v>636</v>
      </c>
      <c r="Q77" s="20"/>
      <c r="R77" s="10"/>
      <c r="S77" s="7"/>
      <c r="T77" s="10"/>
      <c r="U77" s="11"/>
    </row>
    <row r="78" spans="1:21" x14ac:dyDescent="0.25">
      <c r="A78" s="12" t="s">
        <v>113</v>
      </c>
      <c r="B78" s="19">
        <f t="shared" si="1"/>
        <v>3</v>
      </c>
      <c r="C78" s="13" t="s">
        <v>8</v>
      </c>
      <c r="D78" s="13" t="s">
        <v>163</v>
      </c>
      <c r="E78" s="51" t="s">
        <v>433</v>
      </c>
      <c r="F78" s="16">
        <v>44207</v>
      </c>
      <c r="G78" s="14" t="s">
        <v>164</v>
      </c>
      <c r="H78" s="16">
        <v>44183</v>
      </c>
      <c r="I78" s="15"/>
      <c r="J78" s="15" t="s">
        <v>196</v>
      </c>
      <c r="K78" s="35" t="s">
        <v>455</v>
      </c>
      <c r="L78" s="15"/>
      <c r="M78" s="35" t="s">
        <v>756</v>
      </c>
      <c r="N78" s="15" t="s">
        <v>758</v>
      </c>
      <c r="O78" s="15">
        <v>9054500</v>
      </c>
      <c r="P78" s="15" t="s">
        <v>645</v>
      </c>
      <c r="Q78" s="21"/>
      <c r="R78" s="15"/>
      <c r="S78" s="17"/>
      <c r="T78" s="15"/>
      <c r="U78" s="5"/>
    </row>
    <row r="79" spans="1:21" x14ac:dyDescent="0.25">
      <c r="A79" s="6" t="s">
        <v>114</v>
      </c>
      <c r="B79" s="18">
        <f t="shared" si="1"/>
        <v>3</v>
      </c>
      <c r="C79" s="7" t="s">
        <v>5</v>
      </c>
      <c r="D79" s="7" t="s">
        <v>5</v>
      </c>
      <c r="E79" s="50" t="s">
        <v>709</v>
      </c>
      <c r="F79" s="9">
        <v>44277</v>
      </c>
      <c r="G79" s="8" t="s">
        <v>161</v>
      </c>
      <c r="H79" s="9">
        <v>44172</v>
      </c>
      <c r="I79" s="10"/>
      <c r="J79" s="10" t="s">
        <v>857</v>
      </c>
      <c r="K79" s="36">
        <v>8.4</v>
      </c>
      <c r="L79" s="10"/>
      <c r="M79" s="36" t="s">
        <v>759</v>
      </c>
      <c r="N79" s="10"/>
      <c r="O79" s="10">
        <v>8081</v>
      </c>
      <c r="P79" s="10" t="s">
        <v>646</v>
      </c>
      <c r="Q79" s="20"/>
      <c r="R79" s="10"/>
      <c r="S79" s="7"/>
      <c r="T79" s="10"/>
      <c r="U79" s="11"/>
    </row>
    <row r="80" spans="1:21" ht="72" x14ac:dyDescent="0.25">
      <c r="A80" s="12" t="s">
        <v>115</v>
      </c>
      <c r="B80" s="19">
        <f t="shared" si="1"/>
        <v>4</v>
      </c>
      <c r="C80" s="13" t="s">
        <v>6</v>
      </c>
      <c r="D80" s="13" t="s">
        <v>6</v>
      </c>
      <c r="E80" s="51" t="s">
        <v>339</v>
      </c>
      <c r="F80" s="16">
        <v>44201</v>
      </c>
      <c r="G80" s="14" t="s">
        <v>161</v>
      </c>
      <c r="H80" s="16">
        <v>44201</v>
      </c>
      <c r="I80" s="15"/>
      <c r="J80" s="15" t="s">
        <v>828</v>
      </c>
      <c r="K80" s="35" t="s">
        <v>858</v>
      </c>
      <c r="L80" s="15"/>
      <c r="M80" s="35" t="s">
        <v>760</v>
      </c>
      <c r="N80" s="15"/>
      <c r="O80" s="15">
        <v>15301</v>
      </c>
      <c r="P80" s="15" t="s">
        <v>647</v>
      </c>
      <c r="Q80" s="21"/>
      <c r="R80" s="15"/>
      <c r="S80" s="17"/>
      <c r="T80" s="15"/>
      <c r="U80" s="5"/>
    </row>
    <row r="81" spans="1:21" x14ac:dyDescent="0.25">
      <c r="A81" s="6" t="s">
        <v>116</v>
      </c>
      <c r="B81" s="18">
        <f t="shared" si="1"/>
        <v>4</v>
      </c>
      <c r="C81" s="7" t="s">
        <v>4</v>
      </c>
      <c r="D81" s="7" t="s">
        <v>173</v>
      </c>
      <c r="E81" s="50" t="s">
        <v>710</v>
      </c>
      <c r="F81" s="9">
        <v>44208</v>
      </c>
      <c r="G81" s="8" t="s">
        <v>161</v>
      </c>
      <c r="H81" s="9">
        <v>44200</v>
      </c>
      <c r="I81" s="10"/>
      <c r="J81" s="20">
        <v>5.0999999999999996</v>
      </c>
      <c r="K81" s="36" t="s">
        <v>859</v>
      </c>
      <c r="L81" s="10"/>
      <c r="M81" s="36" t="s">
        <v>761</v>
      </c>
      <c r="N81" s="10"/>
      <c r="O81" s="10">
        <v>1289</v>
      </c>
      <c r="P81" s="10" t="s">
        <v>648</v>
      </c>
      <c r="Q81" s="20"/>
      <c r="R81" s="10"/>
      <c r="S81" s="7"/>
      <c r="T81" s="10"/>
      <c r="U81" s="11"/>
    </row>
    <row r="82" spans="1:21" x14ac:dyDescent="0.25">
      <c r="A82" s="40" t="s">
        <v>117</v>
      </c>
      <c r="B82" s="41">
        <f t="shared" si="1"/>
        <v>4</v>
      </c>
      <c r="C82" s="42" t="s">
        <v>8</v>
      </c>
      <c r="D82" s="42" t="s">
        <v>163</v>
      </c>
      <c r="E82" s="52" t="s">
        <v>703</v>
      </c>
      <c r="F82" s="44">
        <v>44216</v>
      </c>
      <c r="G82" s="43" t="s">
        <v>161</v>
      </c>
      <c r="H82" s="44">
        <v>44211</v>
      </c>
      <c r="I82" s="45"/>
      <c r="J82" s="45" t="s">
        <v>246</v>
      </c>
      <c r="K82" s="46" t="s">
        <v>860</v>
      </c>
      <c r="L82" s="45"/>
      <c r="M82" s="46"/>
      <c r="N82" s="45" t="s">
        <v>762</v>
      </c>
      <c r="O82" s="45">
        <v>10183328</v>
      </c>
      <c r="P82" s="45" t="s">
        <v>649</v>
      </c>
      <c r="Q82" s="49"/>
      <c r="R82" s="45"/>
      <c r="S82" s="42"/>
      <c r="T82" s="45"/>
      <c r="U82" s="48"/>
    </row>
    <row r="83" spans="1:21" ht="43.5" x14ac:dyDescent="0.25">
      <c r="A83" s="6" t="s">
        <v>118</v>
      </c>
      <c r="B83" s="18">
        <f t="shared" si="1"/>
        <v>4</v>
      </c>
      <c r="C83" s="7" t="s">
        <v>6</v>
      </c>
      <c r="D83" s="7" t="s">
        <v>6</v>
      </c>
      <c r="E83" s="50" t="s">
        <v>702</v>
      </c>
      <c r="F83" s="9">
        <v>44223</v>
      </c>
      <c r="G83" s="8" t="s">
        <v>161</v>
      </c>
      <c r="H83" s="9">
        <v>44223</v>
      </c>
      <c r="I83" s="10"/>
      <c r="J83" s="10" t="s">
        <v>196</v>
      </c>
      <c r="K83" s="36" t="s">
        <v>861</v>
      </c>
      <c r="L83" s="10"/>
      <c r="M83" s="36" t="s">
        <v>763</v>
      </c>
      <c r="N83" s="10"/>
      <c r="O83" s="10">
        <v>2492665</v>
      </c>
      <c r="P83" s="10" t="s">
        <v>650</v>
      </c>
      <c r="Q83" s="20"/>
      <c r="R83" s="10"/>
      <c r="S83" s="7"/>
      <c r="T83" s="10"/>
      <c r="U83" s="11"/>
    </row>
    <row r="84" spans="1:21" x14ac:dyDescent="0.25">
      <c r="A84" s="12" t="s">
        <v>119</v>
      </c>
      <c r="B84" s="19">
        <f t="shared" si="1"/>
        <v>4</v>
      </c>
      <c r="C84" s="13" t="s">
        <v>8</v>
      </c>
      <c r="D84" s="13" t="s">
        <v>163</v>
      </c>
      <c r="E84" s="51" t="s">
        <v>711</v>
      </c>
      <c r="F84" s="16">
        <v>44223</v>
      </c>
      <c r="G84" s="14" t="s">
        <v>161</v>
      </c>
      <c r="H84" s="16">
        <v>44216</v>
      </c>
      <c r="I84" s="15"/>
      <c r="J84" s="15" t="s">
        <v>434</v>
      </c>
      <c r="K84" s="35" t="s">
        <v>862</v>
      </c>
      <c r="L84" s="15"/>
      <c r="M84" s="35" t="s">
        <v>764</v>
      </c>
      <c r="N84" s="15"/>
      <c r="O84" s="15">
        <v>4112917</v>
      </c>
      <c r="P84" s="15" t="s">
        <v>651</v>
      </c>
      <c r="Q84" s="21"/>
      <c r="R84" s="15"/>
      <c r="S84" s="17"/>
      <c r="T84" s="15"/>
      <c r="U84" s="5"/>
    </row>
    <row r="85" spans="1:21" x14ac:dyDescent="0.25">
      <c r="A85" s="6" t="s">
        <v>120</v>
      </c>
      <c r="B85" s="18">
        <f t="shared" si="1"/>
        <v>4</v>
      </c>
      <c r="C85" s="7" t="s">
        <v>7</v>
      </c>
      <c r="D85" s="7" t="s">
        <v>167</v>
      </c>
      <c r="E85" s="50" t="s">
        <v>708</v>
      </c>
      <c r="F85" s="9">
        <v>44224</v>
      </c>
      <c r="G85" s="8" t="s">
        <v>161</v>
      </c>
      <c r="H85" s="9">
        <v>44211</v>
      </c>
      <c r="I85" s="10"/>
      <c r="J85" s="10" t="s">
        <v>863</v>
      </c>
      <c r="K85" s="36" t="s">
        <v>864</v>
      </c>
      <c r="L85" s="10"/>
      <c r="M85" s="36" t="s">
        <v>765</v>
      </c>
      <c r="N85" s="10"/>
      <c r="O85" s="10">
        <v>16899</v>
      </c>
      <c r="P85" s="10" t="s">
        <v>652</v>
      </c>
      <c r="Q85" s="20"/>
      <c r="R85" s="10"/>
      <c r="S85" s="7"/>
      <c r="T85" s="10"/>
      <c r="U85" s="11"/>
    </row>
    <row r="86" spans="1:21" x14ac:dyDescent="0.25">
      <c r="A86" s="12" t="s">
        <v>121</v>
      </c>
      <c r="B86" s="19">
        <f t="shared" si="1"/>
        <v>4</v>
      </c>
      <c r="C86" s="13" t="s">
        <v>8</v>
      </c>
      <c r="D86" s="13" t="s">
        <v>163</v>
      </c>
      <c r="E86" s="51" t="s">
        <v>433</v>
      </c>
      <c r="F86" s="16">
        <v>44228</v>
      </c>
      <c r="G86" s="14" t="s">
        <v>161</v>
      </c>
      <c r="H86" s="16">
        <v>44207</v>
      </c>
      <c r="I86" s="15"/>
      <c r="J86" s="15" t="s">
        <v>247</v>
      </c>
      <c r="K86" s="35" t="s">
        <v>455</v>
      </c>
      <c r="L86" s="15"/>
      <c r="M86" s="35" t="s">
        <v>766</v>
      </c>
      <c r="N86" s="15"/>
      <c r="O86" s="15">
        <v>1772789</v>
      </c>
      <c r="P86" s="15" t="s">
        <v>653</v>
      </c>
      <c r="Q86" s="21"/>
      <c r="R86" s="15"/>
      <c r="S86" s="17"/>
      <c r="T86" s="15"/>
      <c r="U86" s="5"/>
    </row>
    <row r="87" spans="1:21" x14ac:dyDescent="0.25">
      <c r="A87" s="6" t="s">
        <v>122</v>
      </c>
      <c r="B87" s="18">
        <f t="shared" si="1"/>
        <v>3</v>
      </c>
      <c r="C87" s="7" t="s">
        <v>8</v>
      </c>
      <c r="D87" s="7" t="s">
        <v>163</v>
      </c>
      <c r="E87" s="50" t="s">
        <v>433</v>
      </c>
      <c r="F87" s="9">
        <v>44228</v>
      </c>
      <c r="G87" s="8" t="s">
        <v>161</v>
      </c>
      <c r="H87" s="9">
        <v>44183</v>
      </c>
      <c r="I87" s="10"/>
      <c r="J87" s="10" t="s">
        <v>247</v>
      </c>
      <c r="K87" s="36" t="s">
        <v>455</v>
      </c>
      <c r="L87" s="10"/>
      <c r="M87" s="36" t="s">
        <v>728</v>
      </c>
      <c r="N87" s="10"/>
      <c r="O87" s="10">
        <v>1772765</v>
      </c>
      <c r="P87" s="10" t="s">
        <v>654</v>
      </c>
      <c r="Q87" s="20"/>
      <c r="R87" s="10"/>
      <c r="S87" s="7"/>
      <c r="T87" s="10"/>
      <c r="U87" s="11"/>
    </row>
    <row r="88" spans="1:21" x14ac:dyDescent="0.25">
      <c r="A88" s="12" t="s">
        <v>123</v>
      </c>
      <c r="B88" s="19">
        <f t="shared" si="1"/>
        <v>3</v>
      </c>
      <c r="C88" s="13" t="s">
        <v>8</v>
      </c>
      <c r="D88" s="13" t="s">
        <v>163</v>
      </c>
      <c r="E88" s="51" t="s">
        <v>433</v>
      </c>
      <c r="F88" s="16">
        <v>44228</v>
      </c>
      <c r="G88" s="14" t="s">
        <v>164</v>
      </c>
      <c r="H88" s="16">
        <v>44183</v>
      </c>
      <c r="I88" s="15"/>
      <c r="J88" s="15" t="s">
        <v>247</v>
      </c>
      <c r="K88" s="35" t="s">
        <v>455</v>
      </c>
      <c r="L88" s="15"/>
      <c r="M88" s="35" t="s">
        <v>728</v>
      </c>
      <c r="N88" s="15"/>
      <c r="O88" s="15">
        <v>1772765</v>
      </c>
      <c r="P88" s="15" t="s">
        <v>654</v>
      </c>
      <c r="Q88" s="21"/>
      <c r="R88" s="15"/>
      <c r="S88" s="17"/>
      <c r="T88" s="15"/>
      <c r="U88" s="5"/>
    </row>
    <row r="89" spans="1:21" ht="29.25" x14ac:dyDescent="0.25">
      <c r="A89" s="6" t="s">
        <v>124</v>
      </c>
      <c r="B89" s="18">
        <f t="shared" si="1"/>
        <v>3</v>
      </c>
      <c r="C89" s="7" t="s">
        <v>8</v>
      </c>
      <c r="D89" s="7" t="s">
        <v>163</v>
      </c>
      <c r="E89" s="50" t="s">
        <v>433</v>
      </c>
      <c r="F89" s="9">
        <v>44228</v>
      </c>
      <c r="G89" s="8" t="s">
        <v>161</v>
      </c>
      <c r="H89" s="9">
        <v>44183</v>
      </c>
      <c r="I89" s="10"/>
      <c r="J89" s="10" t="s">
        <v>847</v>
      </c>
      <c r="K89" s="36" t="s">
        <v>455</v>
      </c>
      <c r="L89" s="10"/>
      <c r="M89" s="36" t="s">
        <v>767</v>
      </c>
      <c r="N89" s="10"/>
      <c r="O89" s="10">
        <v>9054507</v>
      </c>
      <c r="P89" s="10" t="s">
        <v>655</v>
      </c>
      <c r="Q89" s="20"/>
      <c r="R89" s="10"/>
      <c r="S89" s="7"/>
      <c r="T89" s="10"/>
      <c r="U89" s="11"/>
    </row>
    <row r="90" spans="1:21" x14ac:dyDescent="0.25">
      <c r="A90" s="12" t="s">
        <v>125</v>
      </c>
      <c r="B90" s="19">
        <f t="shared" si="1"/>
        <v>3</v>
      </c>
      <c r="C90" s="13" t="s">
        <v>8</v>
      </c>
      <c r="D90" s="13" t="s">
        <v>163</v>
      </c>
      <c r="E90" s="51" t="s">
        <v>433</v>
      </c>
      <c r="F90" s="16">
        <v>44228</v>
      </c>
      <c r="G90" s="14" t="s">
        <v>161</v>
      </c>
      <c r="H90" s="16">
        <v>44183</v>
      </c>
      <c r="I90" s="15"/>
      <c r="J90" s="15" t="s">
        <v>434</v>
      </c>
      <c r="K90" s="35" t="s">
        <v>455</v>
      </c>
      <c r="L90" s="15"/>
      <c r="M90" s="35" t="s">
        <v>768</v>
      </c>
      <c r="N90" s="15"/>
      <c r="O90" s="15">
        <v>9054503</v>
      </c>
      <c r="P90" s="15" t="s">
        <v>656</v>
      </c>
      <c r="Q90" s="21"/>
      <c r="R90" s="15"/>
      <c r="S90" s="17"/>
      <c r="T90" s="15"/>
      <c r="U90" s="5"/>
    </row>
    <row r="91" spans="1:21" x14ac:dyDescent="0.25">
      <c r="A91" s="6" t="s">
        <v>126</v>
      </c>
      <c r="B91" s="18">
        <f t="shared" si="1"/>
        <v>4</v>
      </c>
      <c r="C91" s="7" t="s">
        <v>8</v>
      </c>
      <c r="D91" s="7" t="s">
        <v>163</v>
      </c>
      <c r="E91" s="50" t="s">
        <v>433</v>
      </c>
      <c r="F91" s="9">
        <v>44235</v>
      </c>
      <c r="G91" s="8" t="s">
        <v>164</v>
      </c>
      <c r="H91" s="9">
        <v>44235</v>
      </c>
      <c r="I91" s="10"/>
      <c r="J91" s="10" t="s">
        <v>196</v>
      </c>
      <c r="K91" s="36" t="s">
        <v>865</v>
      </c>
      <c r="L91" s="10"/>
      <c r="M91" s="36" t="s">
        <v>769</v>
      </c>
      <c r="N91" s="10" t="s">
        <v>770</v>
      </c>
      <c r="O91" s="10">
        <v>9054539</v>
      </c>
      <c r="P91" s="10" t="s">
        <v>657</v>
      </c>
      <c r="Q91" s="20"/>
      <c r="R91" s="10"/>
      <c r="S91" s="7"/>
      <c r="T91" s="10"/>
      <c r="U91" s="11"/>
    </row>
    <row r="92" spans="1:21" x14ac:dyDescent="0.25">
      <c r="A92" s="40" t="s">
        <v>127</v>
      </c>
      <c r="B92" s="41">
        <f t="shared" si="1"/>
        <v>4</v>
      </c>
      <c r="C92" s="42" t="s">
        <v>6</v>
      </c>
      <c r="D92" s="42" t="s">
        <v>5</v>
      </c>
      <c r="E92" s="52" t="s">
        <v>702</v>
      </c>
      <c r="F92" s="44">
        <v>44237</v>
      </c>
      <c r="G92" s="43" t="s">
        <v>38</v>
      </c>
      <c r="H92" s="44">
        <v>44237</v>
      </c>
      <c r="I92" s="45"/>
      <c r="J92" s="45" t="s">
        <v>246</v>
      </c>
      <c r="K92" s="46"/>
      <c r="L92" s="45"/>
      <c r="M92" s="46" t="s">
        <v>771</v>
      </c>
      <c r="N92" s="45"/>
      <c r="O92" s="45">
        <v>8100</v>
      </c>
      <c r="P92" s="45"/>
      <c r="Q92" s="49"/>
      <c r="R92" s="45"/>
      <c r="S92" s="42"/>
      <c r="T92" s="45"/>
      <c r="U92" s="48"/>
    </row>
    <row r="93" spans="1:21" x14ac:dyDescent="0.25">
      <c r="A93" s="40" t="s">
        <v>128</v>
      </c>
      <c r="B93" s="41">
        <f t="shared" si="1"/>
        <v>4</v>
      </c>
      <c r="C93" s="42" t="s">
        <v>6</v>
      </c>
      <c r="D93" s="42" t="s">
        <v>6</v>
      </c>
      <c r="E93" s="52" t="s">
        <v>702</v>
      </c>
      <c r="F93" s="44">
        <v>44238</v>
      </c>
      <c r="G93" s="43" t="s">
        <v>38</v>
      </c>
      <c r="H93" s="44">
        <v>44238</v>
      </c>
      <c r="I93" s="45"/>
      <c r="J93" s="45" t="s">
        <v>246</v>
      </c>
      <c r="K93" s="46"/>
      <c r="L93" s="45"/>
      <c r="M93" s="46" t="s">
        <v>772</v>
      </c>
      <c r="N93" s="45"/>
      <c r="O93" s="45">
        <v>2455117</v>
      </c>
      <c r="P93" s="45"/>
      <c r="Q93" s="49"/>
      <c r="R93" s="45"/>
      <c r="S93" s="42"/>
      <c r="T93" s="45"/>
      <c r="U93" s="48"/>
    </row>
    <row r="94" spans="1:21" x14ac:dyDescent="0.25">
      <c r="A94" s="40" t="s">
        <v>129</v>
      </c>
      <c r="B94" s="41">
        <f t="shared" si="1"/>
        <v>4</v>
      </c>
      <c r="C94" s="42" t="s">
        <v>6</v>
      </c>
      <c r="D94" s="42" t="s">
        <v>6</v>
      </c>
      <c r="E94" s="52" t="s">
        <v>702</v>
      </c>
      <c r="F94" s="44">
        <v>44238</v>
      </c>
      <c r="G94" s="43" t="s">
        <v>38</v>
      </c>
      <c r="H94" s="44">
        <v>44238</v>
      </c>
      <c r="I94" s="45"/>
      <c r="J94" s="45" t="s">
        <v>246</v>
      </c>
      <c r="K94" s="46"/>
      <c r="L94" s="45"/>
      <c r="M94" s="46" t="s">
        <v>773</v>
      </c>
      <c r="N94" s="45"/>
      <c r="O94" s="45"/>
      <c r="P94" s="45"/>
      <c r="Q94" s="49"/>
      <c r="R94" s="45"/>
      <c r="S94" s="42"/>
      <c r="T94" s="45"/>
      <c r="U94" s="48"/>
    </row>
    <row r="95" spans="1:21" x14ac:dyDescent="0.25">
      <c r="A95" s="40" t="s">
        <v>130</v>
      </c>
      <c r="B95" s="41">
        <f t="shared" si="1"/>
        <v>4</v>
      </c>
      <c r="C95" s="42" t="s">
        <v>6</v>
      </c>
      <c r="D95" s="42" t="s">
        <v>6</v>
      </c>
      <c r="E95" s="52" t="s">
        <v>702</v>
      </c>
      <c r="F95" s="44">
        <v>44245</v>
      </c>
      <c r="G95" s="43" t="s">
        <v>38</v>
      </c>
      <c r="H95" s="45"/>
      <c r="I95" s="45"/>
      <c r="J95" s="45" t="s">
        <v>246</v>
      </c>
      <c r="K95" s="46"/>
      <c r="L95" s="45"/>
      <c r="M95" s="46" t="s">
        <v>774</v>
      </c>
      <c r="N95" s="45"/>
      <c r="O95" s="45"/>
      <c r="P95" s="45"/>
      <c r="Q95" s="49"/>
      <c r="R95" s="45"/>
      <c r="S95" s="42"/>
      <c r="T95" s="45"/>
      <c r="U95" s="48"/>
    </row>
    <row r="96" spans="1:21" ht="29.25" x14ac:dyDescent="0.25">
      <c r="A96" s="12" t="s">
        <v>131</v>
      </c>
      <c r="B96" s="19">
        <f t="shared" si="1"/>
        <v>4</v>
      </c>
      <c r="C96" s="13" t="s">
        <v>8</v>
      </c>
      <c r="D96" s="13" t="s">
        <v>163</v>
      </c>
      <c r="E96" s="51" t="s">
        <v>712</v>
      </c>
      <c r="F96" s="16">
        <v>44243</v>
      </c>
      <c r="G96" s="14" t="s">
        <v>164</v>
      </c>
      <c r="H96" s="16">
        <v>44240</v>
      </c>
      <c r="I96" s="15"/>
      <c r="J96" s="15" t="s">
        <v>866</v>
      </c>
      <c r="K96" s="35" t="s">
        <v>867</v>
      </c>
      <c r="L96" s="15"/>
      <c r="M96" s="35" t="s">
        <v>775</v>
      </c>
      <c r="N96" s="15"/>
      <c r="O96" s="15">
        <v>3293617</v>
      </c>
      <c r="P96" s="15" t="s">
        <v>658</v>
      </c>
      <c r="Q96" s="21"/>
      <c r="R96" s="15"/>
      <c r="S96" s="17"/>
      <c r="T96" s="15"/>
      <c r="U96" s="5"/>
    </row>
    <row r="97" spans="1:21" ht="29.25" x14ac:dyDescent="0.25">
      <c r="A97" s="6" t="s">
        <v>132</v>
      </c>
      <c r="B97" s="18">
        <f t="shared" si="1"/>
        <v>4</v>
      </c>
      <c r="C97" s="7" t="s">
        <v>8</v>
      </c>
      <c r="D97" s="7" t="s">
        <v>163</v>
      </c>
      <c r="E97" s="50" t="s">
        <v>701</v>
      </c>
      <c r="F97" s="9">
        <v>44244</v>
      </c>
      <c r="G97" s="8" t="s">
        <v>161</v>
      </c>
      <c r="H97" s="9">
        <v>44238</v>
      </c>
      <c r="I97" s="10"/>
      <c r="J97" s="10" t="s">
        <v>868</v>
      </c>
      <c r="K97" s="36" t="s">
        <v>869</v>
      </c>
      <c r="L97" s="10"/>
      <c r="M97" s="36" t="s">
        <v>776</v>
      </c>
      <c r="N97" s="10"/>
      <c r="O97" s="10">
        <v>1394872</v>
      </c>
      <c r="P97" s="10" t="s">
        <v>659</v>
      </c>
      <c r="Q97" s="20"/>
      <c r="R97" s="10"/>
      <c r="S97" s="7"/>
      <c r="T97" s="10"/>
      <c r="U97" s="11"/>
    </row>
    <row r="98" spans="1:21" x14ac:dyDescent="0.25">
      <c r="A98" s="40" t="s">
        <v>133</v>
      </c>
      <c r="B98" s="41">
        <f t="shared" si="1"/>
        <v>4</v>
      </c>
      <c r="C98" s="42" t="s">
        <v>8</v>
      </c>
      <c r="D98" s="42" t="s">
        <v>163</v>
      </c>
      <c r="E98" s="52" t="s">
        <v>263</v>
      </c>
      <c r="F98" s="44">
        <v>44244</v>
      </c>
      <c r="G98" s="43" t="s">
        <v>38</v>
      </c>
      <c r="H98" s="44">
        <v>44203</v>
      </c>
      <c r="I98" s="45"/>
      <c r="J98" s="45"/>
      <c r="K98" s="46" t="s">
        <v>820</v>
      </c>
      <c r="L98" s="45"/>
      <c r="M98" s="46" t="s">
        <v>777</v>
      </c>
      <c r="N98" s="45"/>
      <c r="O98" s="45">
        <v>7533153</v>
      </c>
      <c r="P98" s="45" t="s">
        <v>660</v>
      </c>
      <c r="Q98" s="49"/>
      <c r="R98" s="45"/>
      <c r="S98" s="42"/>
      <c r="T98" s="45"/>
      <c r="U98" s="48"/>
    </row>
    <row r="99" spans="1:21" x14ac:dyDescent="0.25">
      <c r="A99" s="6" t="s">
        <v>134</v>
      </c>
      <c r="B99" s="18">
        <f t="shared" si="1"/>
        <v>4</v>
      </c>
      <c r="C99" s="7" t="s">
        <v>8</v>
      </c>
      <c r="D99" s="7" t="s">
        <v>163</v>
      </c>
      <c r="E99" s="50" t="s">
        <v>711</v>
      </c>
      <c r="F99" s="9">
        <v>44244</v>
      </c>
      <c r="G99" s="8" t="s">
        <v>161</v>
      </c>
      <c r="H99" s="9">
        <v>44244</v>
      </c>
      <c r="I99" s="10"/>
      <c r="J99" s="10" t="s">
        <v>196</v>
      </c>
      <c r="K99" s="36" t="s">
        <v>870</v>
      </c>
      <c r="L99" s="10"/>
      <c r="M99" s="36" t="s">
        <v>778</v>
      </c>
      <c r="N99" s="10"/>
      <c r="O99" s="10">
        <v>20130</v>
      </c>
      <c r="P99" s="10" t="s">
        <v>661</v>
      </c>
      <c r="Q99" s="20"/>
      <c r="R99" s="10"/>
      <c r="S99" s="7"/>
      <c r="T99" s="10"/>
      <c r="U99" s="11"/>
    </row>
    <row r="100" spans="1:21" x14ac:dyDescent="0.25">
      <c r="A100" s="12" t="s">
        <v>135</v>
      </c>
      <c r="B100" s="19">
        <f t="shared" si="1"/>
        <v>4</v>
      </c>
      <c r="C100" s="13" t="s">
        <v>8</v>
      </c>
      <c r="D100" s="13" t="s">
        <v>163</v>
      </c>
      <c r="E100" s="51" t="s">
        <v>263</v>
      </c>
      <c r="F100" s="16">
        <v>44245</v>
      </c>
      <c r="G100" s="14" t="s">
        <v>161</v>
      </c>
      <c r="H100" s="16">
        <v>44245</v>
      </c>
      <c r="I100" s="15"/>
      <c r="J100" s="15" t="s">
        <v>196</v>
      </c>
      <c r="K100" s="35" t="s">
        <v>871</v>
      </c>
      <c r="L100" s="15"/>
      <c r="M100" s="35" t="s">
        <v>779</v>
      </c>
      <c r="N100" s="15"/>
      <c r="O100" s="15">
        <v>23868</v>
      </c>
      <c r="P100" s="15" t="s">
        <v>662</v>
      </c>
      <c r="Q100" s="21"/>
      <c r="R100" s="15"/>
      <c r="S100" s="17"/>
      <c r="T100" s="15"/>
      <c r="U100" s="5"/>
    </row>
    <row r="101" spans="1:21" x14ac:dyDescent="0.25">
      <c r="A101" s="40" t="s">
        <v>136</v>
      </c>
      <c r="B101" s="41">
        <f t="shared" si="1"/>
        <v>4</v>
      </c>
      <c r="C101" s="42" t="s">
        <v>6</v>
      </c>
      <c r="D101" s="42" t="s">
        <v>6</v>
      </c>
      <c r="E101" s="52" t="s">
        <v>339</v>
      </c>
      <c r="F101" s="44">
        <v>44246</v>
      </c>
      <c r="G101" s="43" t="s">
        <v>161</v>
      </c>
      <c r="H101" s="44">
        <v>44246</v>
      </c>
      <c r="I101" s="45"/>
      <c r="J101" s="45" t="s">
        <v>196</v>
      </c>
      <c r="K101" s="46" t="s">
        <v>872</v>
      </c>
      <c r="L101" s="45" t="s">
        <v>873</v>
      </c>
      <c r="M101" s="46" t="s">
        <v>780</v>
      </c>
      <c r="N101" s="45"/>
      <c r="O101" s="45">
        <v>15108</v>
      </c>
      <c r="P101" s="45" t="s">
        <v>663</v>
      </c>
      <c r="Q101" s="49"/>
      <c r="R101" s="45"/>
      <c r="S101" s="42"/>
      <c r="T101" s="45"/>
      <c r="U101" s="48"/>
    </row>
    <row r="102" spans="1:21" ht="29.25" x14ac:dyDescent="0.25">
      <c r="A102" s="12" t="s">
        <v>137</v>
      </c>
      <c r="B102" s="19">
        <f t="shared" si="1"/>
        <v>4</v>
      </c>
      <c r="C102" s="13" t="s">
        <v>6</v>
      </c>
      <c r="D102" s="13" t="s">
        <v>6</v>
      </c>
      <c r="E102" s="51" t="s">
        <v>704</v>
      </c>
      <c r="F102" s="16">
        <v>44249</v>
      </c>
      <c r="G102" s="14" t="s">
        <v>161</v>
      </c>
      <c r="H102" s="16">
        <v>44248</v>
      </c>
      <c r="I102" s="15"/>
      <c r="J102" s="15" t="s">
        <v>196</v>
      </c>
      <c r="K102" s="35" t="s">
        <v>874</v>
      </c>
      <c r="L102" s="15"/>
      <c r="M102" s="35" t="s">
        <v>781</v>
      </c>
      <c r="N102" s="15"/>
      <c r="O102" s="15">
        <v>15769</v>
      </c>
      <c r="P102" s="15" t="s">
        <v>664</v>
      </c>
      <c r="Q102" s="21"/>
      <c r="R102" s="15"/>
      <c r="S102" s="17"/>
      <c r="T102" s="15"/>
      <c r="U102" s="5"/>
    </row>
    <row r="103" spans="1:21" ht="29.25" x14ac:dyDescent="0.25">
      <c r="A103" s="6" t="s">
        <v>138</v>
      </c>
      <c r="B103" s="18">
        <f t="shared" si="1"/>
        <v>4</v>
      </c>
      <c r="C103" s="7" t="s">
        <v>6</v>
      </c>
      <c r="D103" s="7" t="s">
        <v>6</v>
      </c>
      <c r="E103" s="50" t="s">
        <v>704</v>
      </c>
      <c r="F103" s="9">
        <v>44249</v>
      </c>
      <c r="G103" s="8" t="s">
        <v>161</v>
      </c>
      <c r="H103" s="9">
        <v>44249</v>
      </c>
      <c r="I103" s="10"/>
      <c r="J103" s="10" t="s">
        <v>196</v>
      </c>
      <c r="K103" s="36" t="s">
        <v>875</v>
      </c>
      <c r="L103" s="10"/>
      <c r="M103" s="36" t="s">
        <v>782</v>
      </c>
      <c r="N103" s="10"/>
      <c r="O103" s="10">
        <v>15851</v>
      </c>
      <c r="P103" s="10" t="s">
        <v>665</v>
      </c>
      <c r="Q103" s="20"/>
      <c r="R103" s="10"/>
      <c r="S103" s="7"/>
      <c r="T103" s="10"/>
      <c r="U103" s="11"/>
    </row>
    <row r="104" spans="1:21" x14ac:dyDescent="0.25">
      <c r="A104" s="40" t="s">
        <v>139</v>
      </c>
      <c r="B104" s="41">
        <f t="shared" si="1"/>
        <v>4</v>
      </c>
      <c r="C104" s="42" t="s">
        <v>8</v>
      </c>
      <c r="D104" s="42" t="s">
        <v>163</v>
      </c>
      <c r="E104" s="52" t="s">
        <v>701</v>
      </c>
      <c r="F104" s="44">
        <v>44250</v>
      </c>
      <c r="G104" s="43" t="s">
        <v>38</v>
      </c>
      <c r="H104" s="44">
        <v>44250</v>
      </c>
      <c r="I104" s="45"/>
      <c r="J104" s="45" t="s">
        <v>246</v>
      </c>
      <c r="K104" s="46" t="s">
        <v>876</v>
      </c>
      <c r="L104" s="45" t="s">
        <v>877</v>
      </c>
      <c r="M104" s="46" t="s">
        <v>783</v>
      </c>
      <c r="N104" s="45"/>
      <c r="O104" s="45"/>
      <c r="P104" s="45"/>
      <c r="Q104" s="49"/>
      <c r="R104" s="45"/>
      <c r="S104" s="42"/>
      <c r="T104" s="45"/>
      <c r="U104" s="48"/>
    </row>
    <row r="105" spans="1:21" x14ac:dyDescent="0.25">
      <c r="A105" s="40" t="s">
        <v>140</v>
      </c>
      <c r="B105" s="41">
        <f t="shared" si="1"/>
        <v>4</v>
      </c>
      <c r="C105" s="42" t="s">
        <v>6</v>
      </c>
      <c r="D105" s="42" t="s">
        <v>6</v>
      </c>
      <c r="E105" s="52" t="s">
        <v>702</v>
      </c>
      <c r="F105" s="44">
        <v>44252</v>
      </c>
      <c r="G105" s="43" t="s">
        <v>38</v>
      </c>
      <c r="H105" s="44">
        <v>44252</v>
      </c>
      <c r="I105" s="45"/>
      <c r="J105" s="45" t="s">
        <v>246</v>
      </c>
      <c r="K105" s="46" t="s">
        <v>878</v>
      </c>
      <c r="L105" s="45" t="s">
        <v>879</v>
      </c>
      <c r="M105" s="46" t="s">
        <v>784</v>
      </c>
      <c r="N105" s="45"/>
      <c r="O105" s="45">
        <v>13289</v>
      </c>
      <c r="P105" s="45"/>
      <c r="Q105" s="49"/>
      <c r="R105" s="45"/>
      <c r="S105" s="42"/>
      <c r="T105" s="45"/>
      <c r="U105" s="48"/>
    </row>
    <row r="106" spans="1:21" x14ac:dyDescent="0.25">
      <c r="A106" s="40" t="s">
        <v>141</v>
      </c>
      <c r="B106" s="41">
        <f t="shared" si="1"/>
        <v>4</v>
      </c>
      <c r="C106" s="42" t="s">
        <v>6</v>
      </c>
      <c r="D106" s="42" t="s">
        <v>6</v>
      </c>
      <c r="E106" s="52" t="s">
        <v>702</v>
      </c>
      <c r="F106" s="44">
        <v>44252</v>
      </c>
      <c r="G106" s="43" t="s">
        <v>38</v>
      </c>
      <c r="H106" s="44">
        <v>44252</v>
      </c>
      <c r="I106" s="45"/>
      <c r="J106" s="45" t="s">
        <v>246</v>
      </c>
      <c r="K106" s="46" t="s">
        <v>878</v>
      </c>
      <c r="L106" s="45" t="s">
        <v>879</v>
      </c>
      <c r="M106" s="46" t="s">
        <v>785</v>
      </c>
      <c r="N106" s="45"/>
      <c r="O106" s="45">
        <v>16821</v>
      </c>
      <c r="P106" s="45"/>
      <c r="Q106" s="49"/>
      <c r="R106" s="45"/>
      <c r="S106" s="42"/>
      <c r="T106" s="45"/>
      <c r="U106" s="48"/>
    </row>
    <row r="107" spans="1:21" x14ac:dyDescent="0.25">
      <c r="A107" s="6" t="s">
        <v>142</v>
      </c>
      <c r="B107" s="18">
        <f t="shared" si="1"/>
        <v>4</v>
      </c>
      <c r="C107" s="7" t="s">
        <v>6</v>
      </c>
      <c r="D107" s="7" t="s">
        <v>6</v>
      </c>
      <c r="E107" s="50" t="s">
        <v>339</v>
      </c>
      <c r="F107" s="9">
        <v>44251</v>
      </c>
      <c r="G107" s="8" t="s">
        <v>161</v>
      </c>
      <c r="H107" s="9">
        <v>44251</v>
      </c>
      <c r="I107" s="10"/>
      <c r="J107" s="10" t="s">
        <v>484</v>
      </c>
      <c r="K107" s="36" t="s">
        <v>479</v>
      </c>
      <c r="L107" s="10"/>
      <c r="M107" s="36" t="s">
        <v>786</v>
      </c>
      <c r="N107" s="10"/>
      <c r="O107" s="10">
        <v>15342</v>
      </c>
      <c r="P107" s="10" t="s">
        <v>666</v>
      </c>
      <c r="Q107" s="20"/>
      <c r="R107" s="10"/>
      <c r="S107" s="7"/>
      <c r="T107" s="10"/>
      <c r="U107" s="11"/>
    </row>
    <row r="108" spans="1:21" x14ac:dyDescent="0.25">
      <c r="A108" s="12" t="s">
        <v>143</v>
      </c>
      <c r="B108" s="19">
        <f t="shared" si="1"/>
        <v>4</v>
      </c>
      <c r="C108" s="13" t="s">
        <v>7</v>
      </c>
      <c r="D108" s="13" t="s">
        <v>178</v>
      </c>
      <c r="E108" s="51" t="s">
        <v>708</v>
      </c>
      <c r="F108" s="16">
        <v>44252</v>
      </c>
      <c r="G108" s="14" t="s">
        <v>161</v>
      </c>
      <c r="H108" s="16">
        <v>44251</v>
      </c>
      <c r="I108" s="15"/>
      <c r="J108" s="15" t="s">
        <v>196</v>
      </c>
      <c r="K108" s="35" t="s">
        <v>363</v>
      </c>
      <c r="L108" s="15"/>
      <c r="M108" s="35" t="s">
        <v>787</v>
      </c>
      <c r="N108" s="15"/>
      <c r="O108" s="15">
        <v>1052701</v>
      </c>
      <c r="P108" s="15" t="s">
        <v>667</v>
      </c>
      <c r="Q108" s="21"/>
      <c r="R108" s="15"/>
      <c r="S108" s="17"/>
      <c r="T108" s="15"/>
      <c r="U108" s="5"/>
    </row>
    <row r="109" spans="1:21" x14ac:dyDescent="0.25">
      <c r="A109" s="6" t="s">
        <v>144</v>
      </c>
      <c r="B109" s="18">
        <f t="shared" si="1"/>
        <v>4</v>
      </c>
      <c r="C109" s="7" t="s">
        <v>8</v>
      </c>
      <c r="D109" s="7" t="s">
        <v>163</v>
      </c>
      <c r="E109" s="50" t="s">
        <v>713</v>
      </c>
      <c r="F109" s="9">
        <v>44252</v>
      </c>
      <c r="G109" s="8" t="s">
        <v>161</v>
      </c>
      <c r="H109" s="9">
        <v>44253</v>
      </c>
      <c r="I109" s="10"/>
      <c r="J109" s="10" t="s">
        <v>246</v>
      </c>
      <c r="K109" s="36" t="s">
        <v>860</v>
      </c>
      <c r="L109" s="10" t="s">
        <v>880</v>
      </c>
      <c r="M109" s="36" t="s">
        <v>788</v>
      </c>
      <c r="N109" s="10"/>
      <c r="O109" s="10">
        <v>10163333</v>
      </c>
      <c r="P109" s="10" t="s">
        <v>668</v>
      </c>
      <c r="Q109" s="20"/>
      <c r="R109" s="10"/>
      <c r="S109" s="7"/>
      <c r="T109" s="10"/>
      <c r="U109" s="11"/>
    </row>
    <row r="110" spans="1:21" x14ac:dyDescent="0.25">
      <c r="A110" s="12" t="s">
        <v>145</v>
      </c>
      <c r="B110" s="19">
        <f t="shared" si="1"/>
        <v>4</v>
      </c>
      <c r="C110" s="13" t="s">
        <v>6</v>
      </c>
      <c r="D110" s="13" t="s">
        <v>6</v>
      </c>
      <c r="E110" s="51" t="s">
        <v>339</v>
      </c>
      <c r="F110" s="16">
        <v>44257</v>
      </c>
      <c r="G110" s="14" t="s">
        <v>161</v>
      </c>
      <c r="H110" s="16">
        <v>44257</v>
      </c>
      <c r="I110" s="15"/>
      <c r="J110" s="15" t="s">
        <v>247</v>
      </c>
      <c r="K110" s="35" t="s">
        <v>881</v>
      </c>
      <c r="L110" s="15"/>
      <c r="M110" s="35" t="s">
        <v>789</v>
      </c>
      <c r="N110" s="15"/>
      <c r="O110" s="15">
        <v>15293</v>
      </c>
      <c r="P110" s="15" t="s">
        <v>669</v>
      </c>
      <c r="Q110" s="21"/>
      <c r="R110" s="15"/>
      <c r="S110" s="17"/>
      <c r="T110" s="15"/>
      <c r="U110" s="5"/>
    </row>
    <row r="111" spans="1:21" x14ac:dyDescent="0.25">
      <c r="A111" s="6" t="s">
        <v>146</v>
      </c>
      <c r="B111" s="18">
        <f t="shared" si="1"/>
        <v>4</v>
      </c>
      <c r="C111" s="7" t="s">
        <v>6</v>
      </c>
      <c r="D111" s="7" t="s">
        <v>6</v>
      </c>
      <c r="E111" s="50" t="s">
        <v>339</v>
      </c>
      <c r="F111" s="9">
        <v>44259</v>
      </c>
      <c r="G111" s="8" t="s">
        <v>161</v>
      </c>
      <c r="H111" s="9">
        <v>44259</v>
      </c>
      <c r="I111" s="10"/>
      <c r="J111" s="10" t="s">
        <v>247</v>
      </c>
      <c r="K111" s="36" t="s">
        <v>487</v>
      </c>
      <c r="L111" s="10"/>
      <c r="M111" s="36" t="s">
        <v>790</v>
      </c>
      <c r="N111" s="10"/>
      <c r="O111" s="10">
        <v>15389</v>
      </c>
      <c r="P111" s="10" t="s">
        <v>670</v>
      </c>
      <c r="Q111" s="20"/>
      <c r="R111" s="10"/>
      <c r="S111" s="7"/>
      <c r="T111" s="10"/>
      <c r="U111" s="11"/>
    </row>
    <row r="112" spans="1:21" ht="29.25" x14ac:dyDescent="0.25">
      <c r="A112" s="12" t="s">
        <v>147</v>
      </c>
      <c r="B112" s="19">
        <f t="shared" si="1"/>
        <v>4</v>
      </c>
      <c r="C112" s="13" t="s">
        <v>6</v>
      </c>
      <c r="D112" s="13" t="s">
        <v>6</v>
      </c>
      <c r="E112" s="51" t="s">
        <v>702</v>
      </c>
      <c r="F112" s="16">
        <v>44263</v>
      </c>
      <c r="G112" s="14" t="s">
        <v>161</v>
      </c>
      <c r="H112" s="16">
        <v>44263</v>
      </c>
      <c r="I112" s="15"/>
      <c r="J112" s="15" t="s">
        <v>882</v>
      </c>
      <c r="K112" s="35" t="s">
        <v>883</v>
      </c>
      <c r="L112" s="15"/>
      <c r="M112" s="35" t="s">
        <v>791</v>
      </c>
      <c r="N112" s="15"/>
      <c r="O112" s="15">
        <v>10631</v>
      </c>
      <c r="P112" s="15" t="s">
        <v>671</v>
      </c>
      <c r="Q112" s="21"/>
      <c r="R112" s="15"/>
      <c r="S112" s="17"/>
      <c r="T112" s="15"/>
      <c r="U112" s="5"/>
    </row>
    <row r="113" spans="1:21" x14ac:dyDescent="0.25">
      <c r="A113" s="6" t="s">
        <v>148</v>
      </c>
      <c r="B113" s="18">
        <f t="shared" si="1"/>
        <v>4</v>
      </c>
      <c r="C113" s="7" t="s">
        <v>8</v>
      </c>
      <c r="D113" s="7" t="s">
        <v>163</v>
      </c>
      <c r="E113" s="50" t="s">
        <v>695</v>
      </c>
      <c r="F113" s="9">
        <v>44264</v>
      </c>
      <c r="G113" s="8" t="s">
        <v>161</v>
      </c>
      <c r="H113" s="9">
        <v>44250</v>
      </c>
      <c r="I113" s="10"/>
      <c r="J113" s="10" t="s">
        <v>247</v>
      </c>
      <c r="K113" s="36" t="s">
        <v>884</v>
      </c>
      <c r="L113" s="10"/>
      <c r="M113" s="36" t="s">
        <v>792</v>
      </c>
      <c r="N113" s="10"/>
      <c r="O113" s="10">
        <v>23447</v>
      </c>
      <c r="P113" s="10" t="s">
        <v>672</v>
      </c>
      <c r="Q113" s="20"/>
      <c r="R113" s="10"/>
      <c r="S113" s="7"/>
      <c r="T113" s="10"/>
      <c r="U113" s="11"/>
    </row>
    <row r="114" spans="1:21" x14ac:dyDescent="0.25">
      <c r="A114" s="40" t="s">
        <v>149</v>
      </c>
      <c r="B114" s="41">
        <f t="shared" si="1"/>
        <v>4</v>
      </c>
      <c r="C114" s="42" t="s">
        <v>8</v>
      </c>
      <c r="D114" s="42" t="s">
        <v>163</v>
      </c>
      <c r="E114" s="52" t="s">
        <v>263</v>
      </c>
      <c r="F114" s="44">
        <v>44264</v>
      </c>
      <c r="G114" s="43" t="s">
        <v>38</v>
      </c>
      <c r="H114" s="44">
        <v>44264</v>
      </c>
      <c r="I114" s="45"/>
      <c r="J114" s="45" t="s">
        <v>243</v>
      </c>
      <c r="K114" s="46" t="s">
        <v>811</v>
      </c>
      <c r="L114" s="45"/>
      <c r="M114" s="46" t="s">
        <v>793</v>
      </c>
      <c r="N114" s="45"/>
      <c r="O114" s="45"/>
      <c r="P114" s="45"/>
      <c r="Q114" s="49"/>
      <c r="R114" s="45"/>
      <c r="S114" s="42"/>
      <c r="T114" s="45"/>
      <c r="U114" s="48"/>
    </row>
    <row r="115" spans="1:21" x14ac:dyDescent="0.25">
      <c r="A115" s="6" t="s">
        <v>150</v>
      </c>
      <c r="B115" s="18">
        <f t="shared" si="1"/>
        <v>4</v>
      </c>
      <c r="C115" s="7" t="s">
        <v>4</v>
      </c>
      <c r="D115" s="7" t="s">
        <v>173</v>
      </c>
      <c r="E115" s="50" t="s">
        <v>714</v>
      </c>
      <c r="F115" s="9">
        <v>44266</v>
      </c>
      <c r="G115" s="8" t="s">
        <v>164</v>
      </c>
      <c r="H115" s="9">
        <v>44243</v>
      </c>
      <c r="I115" s="10"/>
      <c r="J115" s="10" t="s">
        <v>247</v>
      </c>
      <c r="K115" s="36" t="s">
        <v>885</v>
      </c>
      <c r="L115" s="10"/>
      <c r="M115" s="36" t="s">
        <v>794</v>
      </c>
      <c r="N115" s="10" t="s">
        <v>795</v>
      </c>
      <c r="O115" s="10">
        <v>3547</v>
      </c>
      <c r="P115" s="10" t="s">
        <v>673</v>
      </c>
      <c r="Q115" s="20"/>
      <c r="R115" s="10"/>
      <c r="S115" s="7"/>
      <c r="T115" s="10"/>
      <c r="U115" s="11"/>
    </row>
    <row r="116" spans="1:21" x14ac:dyDescent="0.25">
      <c r="A116" s="40" t="s">
        <v>151</v>
      </c>
      <c r="B116" s="41">
        <f t="shared" si="1"/>
        <v>4</v>
      </c>
      <c r="C116" s="42" t="s">
        <v>5</v>
      </c>
      <c r="D116" s="42" t="s">
        <v>5</v>
      </c>
      <c r="E116" s="52" t="s">
        <v>702</v>
      </c>
      <c r="F116" s="44">
        <v>44267</v>
      </c>
      <c r="G116" s="43" t="s">
        <v>38</v>
      </c>
      <c r="H116" s="44">
        <v>44267</v>
      </c>
      <c r="I116" s="45"/>
      <c r="J116" s="45" t="s">
        <v>246</v>
      </c>
      <c r="K116" s="46" t="s">
        <v>878</v>
      </c>
      <c r="L116" s="45" t="s">
        <v>886</v>
      </c>
      <c r="M116" s="46" t="s">
        <v>796</v>
      </c>
      <c r="N116" s="45"/>
      <c r="O116" s="45"/>
      <c r="P116" s="45"/>
      <c r="Q116" s="49"/>
      <c r="R116" s="45"/>
      <c r="S116" s="42"/>
      <c r="T116" s="45"/>
      <c r="U116" s="48"/>
    </row>
    <row r="117" spans="1:21" x14ac:dyDescent="0.25">
      <c r="A117" s="6" t="s">
        <v>152</v>
      </c>
      <c r="B117" s="18">
        <f t="shared" si="1"/>
        <v>4</v>
      </c>
      <c r="C117" s="7" t="s">
        <v>4</v>
      </c>
      <c r="D117" s="7" t="s">
        <v>173</v>
      </c>
      <c r="E117" s="50" t="s">
        <v>714</v>
      </c>
      <c r="F117" s="9">
        <v>44267</v>
      </c>
      <c r="G117" s="8" t="s">
        <v>161</v>
      </c>
      <c r="H117" s="9">
        <v>44268</v>
      </c>
      <c r="I117" s="10"/>
      <c r="J117" s="10" t="s">
        <v>247</v>
      </c>
      <c r="K117" s="36" t="s">
        <v>553</v>
      </c>
      <c r="L117" s="10"/>
      <c r="M117" s="36" t="s">
        <v>794</v>
      </c>
      <c r="N117" s="10"/>
      <c r="O117" s="10">
        <v>3547</v>
      </c>
      <c r="P117" s="10" t="s">
        <v>673</v>
      </c>
      <c r="Q117" s="20"/>
      <c r="R117" s="10"/>
      <c r="S117" s="7"/>
      <c r="T117" s="10"/>
      <c r="U117" s="11"/>
    </row>
    <row r="118" spans="1:21" x14ac:dyDescent="0.25">
      <c r="A118" s="40" t="s">
        <v>153</v>
      </c>
      <c r="B118" s="41">
        <f t="shared" si="1"/>
        <v>4</v>
      </c>
      <c r="C118" s="42" t="s">
        <v>6</v>
      </c>
      <c r="D118" s="42" t="s">
        <v>6</v>
      </c>
      <c r="E118" s="52" t="s">
        <v>702</v>
      </c>
      <c r="F118" s="44">
        <v>44270</v>
      </c>
      <c r="G118" s="43" t="s">
        <v>38</v>
      </c>
      <c r="H118" s="44">
        <v>44286</v>
      </c>
      <c r="I118" s="45"/>
      <c r="J118" s="45" t="s">
        <v>246</v>
      </c>
      <c r="K118" s="46" t="s">
        <v>878</v>
      </c>
      <c r="L118" s="45" t="s">
        <v>887</v>
      </c>
      <c r="M118" s="46" t="s">
        <v>791</v>
      </c>
      <c r="N118" s="45"/>
      <c r="O118" s="45"/>
      <c r="P118" s="45"/>
      <c r="Q118" s="49"/>
      <c r="R118" s="45"/>
      <c r="S118" s="42"/>
      <c r="T118" s="45"/>
      <c r="U118" s="48"/>
    </row>
    <row r="119" spans="1:21" x14ac:dyDescent="0.25">
      <c r="A119" s="40" t="s">
        <v>154</v>
      </c>
      <c r="B119" s="41">
        <f t="shared" si="1"/>
        <v>4</v>
      </c>
      <c r="C119" s="42" t="s">
        <v>6</v>
      </c>
      <c r="D119" s="42" t="s">
        <v>5</v>
      </c>
      <c r="E119" s="52" t="s">
        <v>702</v>
      </c>
      <c r="F119" s="44">
        <v>44271</v>
      </c>
      <c r="G119" s="43" t="s">
        <v>38</v>
      </c>
      <c r="H119" s="44">
        <v>44270</v>
      </c>
      <c r="I119" s="45"/>
      <c r="J119" s="45" t="s">
        <v>246</v>
      </c>
      <c r="K119" s="46" t="s">
        <v>878</v>
      </c>
      <c r="L119" s="45" t="s">
        <v>887</v>
      </c>
      <c r="M119" s="46" t="s">
        <v>771</v>
      </c>
      <c r="N119" s="45"/>
      <c r="O119" s="45">
        <v>8100</v>
      </c>
      <c r="P119" s="45"/>
      <c r="Q119" s="49"/>
      <c r="R119" s="45"/>
      <c r="S119" s="42"/>
      <c r="T119" s="45"/>
      <c r="U119" s="48"/>
    </row>
    <row r="120" spans="1:21" x14ac:dyDescent="0.25">
      <c r="A120" s="40" t="s">
        <v>155</v>
      </c>
      <c r="B120" s="41">
        <f t="shared" si="1"/>
        <v>4</v>
      </c>
      <c r="C120" s="42" t="s">
        <v>6</v>
      </c>
      <c r="D120" s="42" t="s">
        <v>6</v>
      </c>
      <c r="E120" s="52" t="s">
        <v>702</v>
      </c>
      <c r="F120" s="44">
        <v>44271</v>
      </c>
      <c r="G120" s="43" t="s">
        <v>38</v>
      </c>
      <c r="H120" s="44">
        <v>44270</v>
      </c>
      <c r="I120" s="45"/>
      <c r="J120" s="45" t="s">
        <v>246</v>
      </c>
      <c r="K120" s="46" t="s">
        <v>878</v>
      </c>
      <c r="L120" s="45" t="s">
        <v>887</v>
      </c>
      <c r="M120" s="46" t="s">
        <v>772</v>
      </c>
      <c r="N120" s="45"/>
      <c r="O120" s="45">
        <v>2455117</v>
      </c>
      <c r="P120" s="45"/>
      <c r="Q120" s="49"/>
      <c r="R120" s="45"/>
      <c r="S120" s="42"/>
      <c r="T120" s="45"/>
      <c r="U120" s="48"/>
    </row>
    <row r="121" spans="1:21" x14ac:dyDescent="0.25">
      <c r="A121" s="40" t="s">
        <v>156</v>
      </c>
      <c r="B121" s="41">
        <f t="shared" si="1"/>
        <v>4</v>
      </c>
      <c r="C121" s="42" t="s">
        <v>6</v>
      </c>
      <c r="D121" s="42" t="s">
        <v>6</v>
      </c>
      <c r="E121" s="52" t="s">
        <v>702</v>
      </c>
      <c r="F121" s="44">
        <v>44271</v>
      </c>
      <c r="G121" s="43" t="s">
        <v>38</v>
      </c>
      <c r="H121" s="44">
        <v>44270</v>
      </c>
      <c r="I121" s="45"/>
      <c r="J121" s="45" t="s">
        <v>246</v>
      </c>
      <c r="K121" s="46" t="s">
        <v>878</v>
      </c>
      <c r="L121" s="45" t="s">
        <v>887</v>
      </c>
      <c r="M121" s="46" t="s">
        <v>797</v>
      </c>
      <c r="N121" s="45"/>
      <c r="O121" s="45">
        <v>16821</v>
      </c>
      <c r="P121" s="45"/>
      <c r="Q121" s="49"/>
      <c r="R121" s="45"/>
      <c r="S121" s="42"/>
      <c r="T121" s="45"/>
      <c r="U121" s="48"/>
    </row>
    <row r="122" spans="1:21" x14ac:dyDescent="0.25">
      <c r="A122" s="40" t="s">
        <v>684</v>
      </c>
      <c r="B122" s="41">
        <f t="shared" si="1"/>
        <v>4</v>
      </c>
      <c r="C122" s="42" t="s">
        <v>6</v>
      </c>
      <c r="D122" s="42" t="s">
        <v>6</v>
      </c>
      <c r="E122" s="52" t="s">
        <v>702</v>
      </c>
      <c r="F122" s="44">
        <v>44271</v>
      </c>
      <c r="G122" s="43" t="s">
        <v>38</v>
      </c>
      <c r="H122" s="44">
        <v>44270</v>
      </c>
      <c r="I122" s="45"/>
      <c r="J122" s="45" t="s">
        <v>246</v>
      </c>
      <c r="K122" s="46" t="s">
        <v>878</v>
      </c>
      <c r="L122" s="45" t="s">
        <v>887</v>
      </c>
      <c r="M122" s="46" t="s">
        <v>798</v>
      </c>
      <c r="N122" s="45"/>
      <c r="O122" s="45">
        <v>13289</v>
      </c>
      <c r="P122" s="45"/>
      <c r="Q122" s="49"/>
      <c r="R122" s="45"/>
      <c r="S122" s="42"/>
      <c r="T122" s="45"/>
      <c r="U122" s="48"/>
    </row>
    <row r="123" spans="1:21" x14ac:dyDescent="0.25">
      <c r="A123" s="6" t="s">
        <v>685</v>
      </c>
      <c r="B123" s="18">
        <f t="shared" si="1"/>
        <v>4</v>
      </c>
      <c r="C123" s="7" t="s">
        <v>6</v>
      </c>
      <c r="D123" s="7" t="s">
        <v>6</v>
      </c>
      <c r="E123" s="50" t="s">
        <v>339</v>
      </c>
      <c r="F123" s="9">
        <v>44268</v>
      </c>
      <c r="G123" s="8" t="s">
        <v>161</v>
      </c>
      <c r="H123" s="9">
        <v>44267</v>
      </c>
      <c r="I123" s="10"/>
      <c r="J123" s="10" t="s">
        <v>888</v>
      </c>
      <c r="K123" s="36" t="s">
        <v>889</v>
      </c>
      <c r="L123" s="10" t="s">
        <v>890</v>
      </c>
      <c r="M123" s="36" t="s">
        <v>799</v>
      </c>
      <c r="N123" s="10"/>
      <c r="O123" s="10">
        <v>1872835</v>
      </c>
      <c r="P123" s="10" t="s">
        <v>674</v>
      </c>
      <c r="Q123" s="20"/>
      <c r="R123" s="10"/>
      <c r="S123" s="7"/>
      <c r="T123" s="10"/>
      <c r="U123" s="5"/>
    </row>
    <row r="124" spans="1:21" ht="29.25" x14ac:dyDescent="0.25">
      <c r="A124" s="12" t="s">
        <v>686</v>
      </c>
      <c r="B124" s="19">
        <f t="shared" si="1"/>
        <v>4</v>
      </c>
      <c r="C124" s="13" t="s">
        <v>6</v>
      </c>
      <c r="D124" s="13" t="s">
        <v>6</v>
      </c>
      <c r="E124" s="51" t="s">
        <v>339</v>
      </c>
      <c r="F124" s="16">
        <v>44273</v>
      </c>
      <c r="G124" s="14" t="s">
        <v>161</v>
      </c>
      <c r="H124" s="16">
        <v>44273</v>
      </c>
      <c r="I124" s="15"/>
      <c r="J124" s="15" t="s">
        <v>891</v>
      </c>
      <c r="K124" s="35" t="s">
        <v>892</v>
      </c>
      <c r="L124" s="15"/>
      <c r="M124" s="35" t="s">
        <v>800</v>
      </c>
      <c r="N124" s="15"/>
      <c r="O124" s="15">
        <v>7903446</v>
      </c>
      <c r="P124" s="15" t="s">
        <v>675</v>
      </c>
      <c r="Q124" s="21"/>
      <c r="R124" s="15"/>
      <c r="S124" s="17"/>
      <c r="T124" s="15"/>
      <c r="U124" s="5"/>
    </row>
    <row r="125" spans="1:21" x14ac:dyDescent="0.25">
      <c r="A125" s="6" t="s">
        <v>687</v>
      </c>
      <c r="B125" s="18">
        <f t="shared" si="1"/>
        <v>4</v>
      </c>
      <c r="C125" s="7" t="s">
        <v>6</v>
      </c>
      <c r="D125" s="7" t="s">
        <v>6</v>
      </c>
      <c r="E125" s="50" t="s">
        <v>339</v>
      </c>
      <c r="F125" s="9">
        <v>44277</v>
      </c>
      <c r="G125" s="8" t="s">
        <v>161</v>
      </c>
      <c r="H125" s="9">
        <v>44277</v>
      </c>
      <c r="I125" s="10"/>
      <c r="J125" s="10" t="s">
        <v>247</v>
      </c>
      <c r="K125" s="36" t="s">
        <v>856</v>
      </c>
      <c r="L125" s="10"/>
      <c r="M125" s="36" t="s">
        <v>801</v>
      </c>
      <c r="N125" s="10"/>
      <c r="O125" s="10">
        <v>15136</v>
      </c>
      <c r="P125" s="10" t="s">
        <v>676</v>
      </c>
      <c r="Q125" s="20"/>
      <c r="R125" s="10"/>
      <c r="S125" s="7"/>
      <c r="T125" s="10"/>
      <c r="U125" s="5"/>
    </row>
    <row r="126" spans="1:21" x14ac:dyDescent="0.25">
      <c r="A126" s="12" t="s">
        <v>688</v>
      </c>
      <c r="B126" s="19">
        <f t="shared" si="1"/>
        <v>4</v>
      </c>
      <c r="C126" s="13" t="s">
        <v>8</v>
      </c>
      <c r="D126" s="13" t="s">
        <v>163</v>
      </c>
      <c r="E126" s="51" t="s">
        <v>713</v>
      </c>
      <c r="F126" s="16">
        <v>44280</v>
      </c>
      <c r="G126" s="14" t="s">
        <v>164</v>
      </c>
      <c r="H126" s="16">
        <v>44278</v>
      </c>
      <c r="I126" s="15"/>
      <c r="J126" s="15" t="s">
        <v>434</v>
      </c>
      <c r="K126" s="35" t="s">
        <v>435</v>
      </c>
      <c r="L126" s="15"/>
      <c r="M126" s="35" t="s">
        <v>802</v>
      </c>
      <c r="N126" s="15"/>
      <c r="O126" s="15">
        <v>10163391</v>
      </c>
      <c r="P126" s="15" t="s">
        <v>677</v>
      </c>
      <c r="Q126" s="21"/>
      <c r="R126" s="15"/>
      <c r="S126" s="17"/>
      <c r="T126" s="15"/>
      <c r="U126" s="5"/>
    </row>
    <row r="127" spans="1:21" x14ac:dyDescent="0.25">
      <c r="A127" s="6" t="s">
        <v>689</v>
      </c>
      <c r="B127" s="18">
        <f t="shared" si="1"/>
        <v>4</v>
      </c>
      <c r="C127" s="7" t="s">
        <v>8</v>
      </c>
      <c r="D127" s="7" t="s">
        <v>163</v>
      </c>
      <c r="E127" s="50" t="s">
        <v>713</v>
      </c>
      <c r="F127" s="9">
        <v>44280</v>
      </c>
      <c r="G127" s="8" t="s">
        <v>161</v>
      </c>
      <c r="H127" s="9">
        <v>44278</v>
      </c>
      <c r="I127" s="10"/>
      <c r="J127" s="10" t="s">
        <v>434</v>
      </c>
      <c r="K127" s="36" t="s">
        <v>435</v>
      </c>
      <c r="L127" s="10"/>
      <c r="M127" s="36" t="s">
        <v>803</v>
      </c>
      <c r="N127" s="10"/>
      <c r="O127" s="10">
        <v>10163389</v>
      </c>
      <c r="P127" s="10" t="s">
        <v>678</v>
      </c>
      <c r="Q127" s="20"/>
      <c r="R127" s="10"/>
      <c r="S127" s="7"/>
      <c r="T127" s="10"/>
      <c r="U127" s="5"/>
    </row>
    <row r="128" spans="1:21" x14ac:dyDescent="0.25">
      <c r="A128" s="12" t="s">
        <v>690</v>
      </c>
      <c r="B128" s="19">
        <f t="shared" si="1"/>
        <v>4</v>
      </c>
      <c r="C128" s="13" t="s">
        <v>5</v>
      </c>
      <c r="D128" s="13" t="s">
        <v>5</v>
      </c>
      <c r="E128" s="51" t="s">
        <v>715</v>
      </c>
      <c r="F128" s="16">
        <v>44286</v>
      </c>
      <c r="G128" s="14" t="s">
        <v>161</v>
      </c>
      <c r="H128" s="16">
        <v>44252</v>
      </c>
      <c r="I128" s="15"/>
      <c r="J128" s="15" t="s">
        <v>196</v>
      </c>
      <c r="K128" s="35" t="s">
        <v>820</v>
      </c>
      <c r="L128" s="15"/>
      <c r="M128" s="35" t="s">
        <v>804</v>
      </c>
      <c r="N128" s="15"/>
      <c r="O128" s="15">
        <v>2006</v>
      </c>
      <c r="P128" s="15" t="s">
        <v>679</v>
      </c>
      <c r="Q128" s="21"/>
      <c r="R128" s="15"/>
      <c r="S128" s="17"/>
      <c r="T128" s="15"/>
      <c r="U128" s="5"/>
    </row>
    <row r="129" spans="1:21" x14ac:dyDescent="0.25">
      <c r="A129" s="6" t="s">
        <v>691</v>
      </c>
      <c r="B129" s="18">
        <f t="shared" si="1"/>
        <v>4</v>
      </c>
      <c r="C129" s="7" t="s">
        <v>4</v>
      </c>
      <c r="D129" s="7" t="s">
        <v>173</v>
      </c>
      <c r="E129" s="50" t="s">
        <v>710</v>
      </c>
      <c r="F129" s="9">
        <v>44295</v>
      </c>
      <c r="G129" s="8" t="s">
        <v>164</v>
      </c>
      <c r="H129" s="9">
        <v>44280</v>
      </c>
      <c r="I129" s="10"/>
      <c r="J129" s="10" t="s">
        <v>409</v>
      </c>
      <c r="K129" s="36" t="s">
        <v>553</v>
      </c>
      <c r="L129" s="10"/>
      <c r="M129" s="36" t="s">
        <v>805</v>
      </c>
      <c r="N129" s="10" t="s">
        <v>806</v>
      </c>
      <c r="O129" s="10">
        <v>6433232</v>
      </c>
      <c r="P129" s="10" t="s">
        <v>680</v>
      </c>
      <c r="Q129" s="20"/>
      <c r="R129" s="10"/>
      <c r="S129" s="7"/>
      <c r="T129" s="10"/>
      <c r="U129" s="5"/>
    </row>
    <row r="130" spans="1:21" x14ac:dyDescent="0.25">
      <c r="A130" s="12" t="s">
        <v>692</v>
      </c>
      <c r="B130" s="19">
        <f t="shared" si="1"/>
        <v>4</v>
      </c>
      <c r="C130" s="13" t="s">
        <v>8</v>
      </c>
      <c r="D130" s="13" t="s">
        <v>163</v>
      </c>
      <c r="E130" s="51" t="s">
        <v>716</v>
      </c>
      <c r="F130" s="16">
        <v>44295</v>
      </c>
      <c r="G130" s="14" t="s">
        <v>164</v>
      </c>
      <c r="H130" s="16">
        <v>44273</v>
      </c>
      <c r="I130" s="15"/>
      <c r="J130" s="15" t="s">
        <v>434</v>
      </c>
      <c r="K130" s="35" t="s">
        <v>435</v>
      </c>
      <c r="L130" s="15"/>
      <c r="M130" s="35" t="s">
        <v>807</v>
      </c>
      <c r="N130" s="15"/>
      <c r="O130" s="15">
        <v>10163384</v>
      </c>
      <c r="P130" s="15" t="s">
        <v>681</v>
      </c>
      <c r="Q130" s="21"/>
      <c r="R130" s="15"/>
      <c r="S130" s="17"/>
      <c r="T130" s="15"/>
      <c r="U130" s="5"/>
    </row>
    <row r="131" spans="1:21" x14ac:dyDescent="0.25">
      <c r="A131" s="6" t="s">
        <v>693</v>
      </c>
      <c r="B131" s="18">
        <f t="shared" ref="B131:B161" si="2">CHOOSE(MONTH(H131), 4,4,4,1,1,1,2,2,2,3,3,3)</f>
        <v>4</v>
      </c>
      <c r="C131" s="7" t="s">
        <v>8</v>
      </c>
      <c r="D131" s="7" t="s">
        <v>163</v>
      </c>
      <c r="E131" s="50" t="s">
        <v>716</v>
      </c>
      <c r="F131" s="9">
        <v>44295</v>
      </c>
      <c r="G131" s="8" t="s">
        <v>161</v>
      </c>
      <c r="H131" s="9">
        <v>44279</v>
      </c>
      <c r="I131" s="10"/>
      <c r="J131" s="10" t="s">
        <v>434</v>
      </c>
      <c r="K131" s="36" t="s">
        <v>435</v>
      </c>
      <c r="L131" s="10"/>
      <c r="M131" s="36" t="s">
        <v>808</v>
      </c>
      <c r="N131" s="10"/>
      <c r="O131" s="10">
        <v>10163382</v>
      </c>
      <c r="P131" s="10" t="s">
        <v>682</v>
      </c>
      <c r="Q131" s="20"/>
      <c r="R131" s="10"/>
      <c r="S131" s="7"/>
      <c r="T131" s="10"/>
      <c r="U131" s="5"/>
    </row>
    <row r="132" spans="1:21" x14ac:dyDescent="0.25">
      <c r="A132" s="12" t="s">
        <v>694</v>
      </c>
      <c r="B132" s="19">
        <f t="shared" si="2"/>
        <v>4</v>
      </c>
      <c r="C132" s="13" t="s">
        <v>8</v>
      </c>
      <c r="D132" s="13" t="s">
        <v>163</v>
      </c>
      <c r="E132" s="51" t="s">
        <v>433</v>
      </c>
      <c r="F132" s="16">
        <v>44298</v>
      </c>
      <c r="G132" s="14" t="s">
        <v>164</v>
      </c>
      <c r="H132" s="16">
        <v>44280</v>
      </c>
      <c r="I132" s="15"/>
      <c r="J132" s="15" t="s">
        <v>838</v>
      </c>
      <c r="K132" s="35" t="s">
        <v>435</v>
      </c>
      <c r="L132" s="15"/>
      <c r="M132" s="35" t="s">
        <v>809</v>
      </c>
      <c r="N132" s="15"/>
      <c r="O132" s="15">
        <v>9054556</v>
      </c>
      <c r="P132" s="15" t="s">
        <v>683</v>
      </c>
      <c r="Q132" s="21"/>
      <c r="R132" s="15"/>
      <c r="S132" s="17"/>
      <c r="T132" s="15"/>
      <c r="U132" s="5"/>
    </row>
    <row r="133" spans="1:21" x14ac:dyDescent="0.25">
      <c r="A133" s="6" t="s">
        <v>893</v>
      </c>
      <c r="B133" s="18">
        <f t="shared" si="2"/>
        <v>4</v>
      </c>
      <c r="C133" s="7" t="s">
        <v>7</v>
      </c>
      <c r="D133" s="7" t="s">
        <v>6</v>
      </c>
      <c r="E133" s="50" t="s">
        <v>708</v>
      </c>
      <c r="F133" s="9">
        <v>44287</v>
      </c>
      <c r="G133" s="8" t="s">
        <v>161</v>
      </c>
      <c r="H133" s="9">
        <v>44272</v>
      </c>
      <c r="I133" s="10"/>
      <c r="J133" s="10" t="s">
        <v>196</v>
      </c>
      <c r="K133" s="36" t="s">
        <v>885</v>
      </c>
      <c r="L133" s="10"/>
      <c r="M133" s="36" t="s">
        <v>894</v>
      </c>
      <c r="N133" s="10"/>
      <c r="O133" s="10">
        <v>17806</v>
      </c>
      <c r="P133" s="10" t="s">
        <v>895</v>
      </c>
      <c r="Q133" s="20" t="s">
        <v>896</v>
      </c>
      <c r="R133" s="10" t="s">
        <v>985</v>
      </c>
      <c r="S133" s="7"/>
      <c r="T133" s="10"/>
      <c r="U133" s="5"/>
    </row>
    <row r="134" spans="1:21" x14ac:dyDescent="0.25">
      <c r="A134" s="12" t="s">
        <v>897</v>
      </c>
      <c r="B134" s="19">
        <f t="shared" si="2"/>
        <v>1</v>
      </c>
      <c r="C134" s="13" t="s">
        <v>6</v>
      </c>
      <c r="D134" s="13" t="s">
        <v>6</v>
      </c>
      <c r="E134" s="51" t="s">
        <v>339</v>
      </c>
      <c r="F134" s="16">
        <v>44292</v>
      </c>
      <c r="G134" s="14" t="s">
        <v>161</v>
      </c>
      <c r="H134" s="16">
        <v>44292</v>
      </c>
      <c r="I134" s="15"/>
      <c r="J134" s="15" t="s">
        <v>243</v>
      </c>
      <c r="K134" s="35" t="s">
        <v>820</v>
      </c>
      <c r="L134" s="15"/>
      <c r="M134" s="35" t="s">
        <v>898</v>
      </c>
      <c r="N134" s="15"/>
      <c r="O134" s="15">
        <v>2472767</v>
      </c>
      <c r="P134" s="15" t="s">
        <v>899</v>
      </c>
      <c r="Q134" s="21" t="s">
        <v>900</v>
      </c>
      <c r="R134" s="15" t="s">
        <v>23</v>
      </c>
      <c r="S134" s="17"/>
      <c r="T134" s="15"/>
      <c r="U134" s="5"/>
    </row>
    <row r="135" spans="1:21" ht="72" x14ac:dyDescent="0.25">
      <c r="A135" s="6" t="s">
        <v>901</v>
      </c>
      <c r="B135" s="18">
        <f t="shared" si="2"/>
        <v>1</v>
      </c>
      <c r="C135" s="7" t="s">
        <v>5</v>
      </c>
      <c r="D135" s="7" t="s">
        <v>6</v>
      </c>
      <c r="E135" s="50" t="s">
        <v>702</v>
      </c>
      <c r="F135" s="9">
        <v>44293</v>
      </c>
      <c r="G135" s="8" t="s">
        <v>38</v>
      </c>
      <c r="H135" s="9">
        <v>44293</v>
      </c>
      <c r="I135" s="10"/>
      <c r="J135" s="10" t="s">
        <v>246</v>
      </c>
      <c r="K135" s="36" t="s">
        <v>878</v>
      </c>
      <c r="L135" s="10"/>
      <c r="M135" s="36" t="s">
        <v>915</v>
      </c>
      <c r="N135" s="10"/>
      <c r="O135" s="10"/>
      <c r="P135" s="10"/>
      <c r="Q135" s="39" t="s">
        <v>916</v>
      </c>
      <c r="R135" s="10" t="s">
        <v>23</v>
      </c>
      <c r="S135" s="7"/>
      <c r="T135" s="10"/>
      <c r="U135" s="5"/>
    </row>
    <row r="136" spans="1:21" ht="57.75" x14ac:dyDescent="0.25">
      <c r="A136" s="12" t="s">
        <v>902</v>
      </c>
      <c r="B136" s="19">
        <f t="shared" si="2"/>
        <v>1</v>
      </c>
      <c r="C136" s="13" t="s">
        <v>4</v>
      </c>
      <c r="D136" s="13" t="s">
        <v>173</v>
      </c>
      <c r="E136" s="51" t="s">
        <v>710</v>
      </c>
      <c r="F136" s="16">
        <v>44295</v>
      </c>
      <c r="G136" s="14" t="s">
        <v>1177</v>
      </c>
      <c r="H136" s="16">
        <v>44293</v>
      </c>
      <c r="I136" s="15"/>
      <c r="J136" s="15" t="s">
        <v>409</v>
      </c>
      <c r="K136" s="35" t="s">
        <v>553</v>
      </c>
      <c r="L136" s="15"/>
      <c r="M136" s="35" t="s">
        <v>805</v>
      </c>
      <c r="N136" s="15"/>
      <c r="O136" s="15">
        <v>6433232</v>
      </c>
      <c r="P136" s="15" t="s">
        <v>680</v>
      </c>
      <c r="Q136" s="38" t="s">
        <v>1196</v>
      </c>
      <c r="R136" s="15" t="s">
        <v>23</v>
      </c>
      <c r="S136" s="17"/>
      <c r="T136" s="15"/>
      <c r="U136" s="5"/>
    </row>
    <row r="137" spans="1:21" ht="43.5" x14ac:dyDescent="0.25">
      <c r="A137" s="6" t="s">
        <v>903</v>
      </c>
      <c r="B137" s="18">
        <f t="shared" si="2"/>
        <v>1</v>
      </c>
      <c r="C137" s="7" t="s">
        <v>7</v>
      </c>
      <c r="D137" s="7" t="s">
        <v>160</v>
      </c>
      <c r="E137" s="50" t="s">
        <v>554</v>
      </c>
      <c r="F137" s="9">
        <v>44300</v>
      </c>
      <c r="G137" s="8" t="s">
        <v>161</v>
      </c>
      <c r="H137" s="9">
        <v>44300</v>
      </c>
      <c r="I137" s="10"/>
      <c r="J137" s="10" t="s">
        <v>247</v>
      </c>
      <c r="K137" s="36" t="s">
        <v>917</v>
      </c>
      <c r="L137" s="10"/>
      <c r="M137" s="36" t="s">
        <v>919</v>
      </c>
      <c r="N137" s="10"/>
      <c r="O137" s="10">
        <v>16896</v>
      </c>
      <c r="P137" s="10" t="s">
        <v>918</v>
      </c>
      <c r="Q137" s="39" t="s">
        <v>920</v>
      </c>
      <c r="R137" s="10" t="s">
        <v>985</v>
      </c>
      <c r="S137" s="7"/>
      <c r="T137" s="10"/>
      <c r="U137" s="5"/>
    </row>
    <row r="138" spans="1:21" ht="72" x14ac:dyDescent="0.25">
      <c r="A138" s="12" t="s">
        <v>904</v>
      </c>
      <c r="B138" s="19">
        <f t="shared" si="2"/>
        <v>1</v>
      </c>
      <c r="C138" s="13" t="s">
        <v>6</v>
      </c>
      <c r="D138" s="13" t="s">
        <v>6</v>
      </c>
      <c r="E138" s="51" t="s">
        <v>921</v>
      </c>
      <c r="F138" s="16">
        <v>44298</v>
      </c>
      <c r="G138" s="14" t="s">
        <v>38</v>
      </c>
      <c r="H138" s="16">
        <v>44301</v>
      </c>
      <c r="I138" s="15"/>
      <c r="J138" s="15" t="s">
        <v>246</v>
      </c>
      <c r="K138" s="35" t="s">
        <v>1139</v>
      </c>
      <c r="L138" s="15"/>
      <c r="M138" s="35" t="s">
        <v>922</v>
      </c>
      <c r="N138" s="15"/>
      <c r="O138" s="15">
        <v>13884</v>
      </c>
      <c r="P138" s="15"/>
      <c r="Q138" s="38" t="s">
        <v>923</v>
      </c>
      <c r="R138" s="15" t="s">
        <v>985</v>
      </c>
      <c r="S138" s="17"/>
      <c r="T138" s="15"/>
      <c r="U138" s="5"/>
    </row>
    <row r="139" spans="1:21" x14ac:dyDescent="0.25">
      <c r="A139" s="6" t="s">
        <v>905</v>
      </c>
      <c r="B139" s="18">
        <f t="shared" si="2"/>
        <v>1</v>
      </c>
      <c r="C139" s="7" t="s">
        <v>6</v>
      </c>
      <c r="D139" s="7" t="s">
        <v>6</v>
      </c>
      <c r="E139" s="50" t="s">
        <v>566</v>
      </c>
      <c r="F139" s="9">
        <v>44301</v>
      </c>
      <c r="G139" s="8" t="s">
        <v>161</v>
      </c>
      <c r="H139" s="9">
        <v>44287</v>
      </c>
      <c r="I139" s="10"/>
      <c r="J139" s="10" t="s">
        <v>246</v>
      </c>
      <c r="K139" s="36">
        <v>12.2</v>
      </c>
      <c r="L139" s="10" t="s">
        <v>924</v>
      </c>
      <c r="M139" s="36" t="s">
        <v>925</v>
      </c>
      <c r="N139" s="10"/>
      <c r="O139" s="10">
        <v>1793516</v>
      </c>
      <c r="P139" s="10" t="s">
        <v>926</v>
      </c>
      <c r="Q139" s="20" t="s">
        <v>927</v>
      </c>
      <c r="R139" s="10" t="s">
        <v>985</v>
      </c>
      <c r="S139" s="7"/>
      <c r="T139" s="10"/>
      <c r="U139" s="5"/>
    </row>
    <row r="140" spans="1:21" ht="43.5" x14ac:dyDescent="0.25">
      <c r="A140" s="12" t="s">
        <v>906</v>
      </c>
      <c r="B140" s="19">
        <f t="shared" si="2"/>
        <v>1</v>
      </c>
      <c r="C140" s="13" t="s">
        <v>8</v>
      </c>
      <c r="D140" s="13" t="s">
        <v>163</v>
      </c>
      <c r="E140" s="51" t="s">
        <v>928</v>
      </c>
      <c r="F140" s="16">
        <v>44305</v>
      </c>
      <c r="G140" s="14" t="s">
        <v>164</v>
      </c>
      <c r="H140" s="16">
        <v>44302</v>
      </c>
      <c r="I140" s="15"/>
      <c r="J140" s="15" t="s">
        <v>196</v>
      </c>
      <c r="K140" s="35" t="s">
        <v>1138</v>
      </c>
      <c r="L140" s="15" t="s">
        <v>929</v>
      </c>
      <c r="M140" s="35" t="s">
        <v>930</v>
      </c>
      <c r="N140" s="15"/>
      <c r="O140" s="15">
        <v>21372</v>
      </c>
      <c r="P140" s="15" t="s">
        <v>931</v>
      </c>
      <c r="Q140" s="38" t="s">
        <v>932</v>
      </c>
      <c r="R140" s="15" t="s">
        <v>22</v>
      </c>
      <c r="S140" s="17"/>
      <c r="T140" s="15"/>
      <c r="U140" s="5"/>
    </row>
    <row r="141" spans="1:21" ht="29.25" x14ac:dyDescent="0.25">
      <c r="A141" s="6" t="s">
        <v>907</v>
      </c>
      <c r="B141" s="18">
        <f t="shared" si="2"/>
        <v>1</v>
      </c>
      <c r="C141" s="7" t="s">
        <v>7</v>
      </c>
      <c r="D141" s="7" t="s">
        <v>160</v>
      </c>
      <c r="E141" s="50" t="s">
        <v>554</v>
      </c>
      <c r="F141" s="9">
        <v>44306</v>
      </c>
      <c r="G141" s="8" t="s">
        <v>161</v>
      </c>
      <c r="H141" s="9">
        <v>44306</v>
      </c>
      <c r="I141" s="10"/>
      <c r="J141" s="10" t="s">
        <v>828</v>
      </c>
      <c r="K141" s="36" t="s">
        <v>933</v>
      </c>
      <c r="L141" s="10"/>
      <c r="M141" s="36" t="s">
        <v>934</v>
      </c>
      <c r="N141" s="10"/>
      <c r="O141" s="10">
        <v>1014724</v>
      </c>
      <c r="P141" s="10" t="s">
        <v>935</v>
      </c>
      <c r="Q141" s="39" t="s">
        <v>936</v>
      </c>
      <c r="R141" s="10" t="s">
        <v>22</v>
      </c>
      <c r="S141" s="7"/>
      <c r="T141" s="10"/>
      <c r="U141" s="5"/>
    </row>
    <row r="142" spans="1:21" x14ac:dyDescent="0.25">
      <c r="A142" s="12" t="s">
        <v>908</v>
      </c>
      <c r="B142" s="19">
        <f t="shared" si="2"/>
        <v>1</v>
      </c>
      <c r="C142" s="13" t="s">
        <v>6</v>
      </c>
      <c r="D142" s="13" t="s">
        <v>6</v>
      </c>
      <c r="E142" s="51" t="s">
        <v>697</v>
      </c>
      <c r="F142" s="16">
        <v>44309</v>
      </c>
      <c r="G142" s="14" t="s">
        <v>164</v>
      </c>
      <c r="H142" s="16">
        <v>44309</v>
      </c>
      <c r="I142" s="15"/>
      <c r="J142" s="15" t="s">
        <v>196</v>
      </c>
      <c r="K142" s="35" t="s">
        <v>856</v>
      </c>
      <c r="L142" s="15"/>
      <c r="M142" s="35" t="s">
        <v>937</v>
      </c>
      <c r="N142" s="15"/>
      <c r="O142" s="15">
        <v>11498</v>
      </c>
      <c r="P142" s="15" t="s">
        <v>938</v>
      </c>
      <c r="Q142" s="21" t="s">
        <v>939</v>
      </c>
      <c r="R142" s="15" t="s">
        <v>22</v>
      </c>
      <c r="S142" s="17"/>
      <c r="T142" s="15"/>
      <c r="U142" s="5"/>
    </row>
    <row r="143" spans="1:21" ht="29.25" x14ac:dyDescent="0.25">
      <c r="A143" s="6" t="s">
        <v>909</v>
      </c>
      <c r="B143" s="18">
        <f t="shared" si="2"/>
        <v>1</v>
      </c>
      <c r="C143" s="7" t="s">
        <v>7</v>
      </c>
      <c r="D143" s="7" t="s">
        <v>160</v>
      </c>
      <c r="E143" s="50" t="s">
        <v>433</v>
      </c>
      <c r="F143" s="9">
        <v>44314</v>
      </c>
      <c r="G143" s="8" t="s">
        <v>161</v>
      </c>
      <c r="H143" s="9">
        <v>44306</v>
      </c>
      <c r="I143" s="10"/>
      <c r="J143" s="10" t="s">
        <v>828</v>
      </c>
      <c r="K143" s="36">
        <v>4.0999999999999996</v>
      </c>
      <c r="L143" s="10"/>
      <c r="M143" s="36" t="s">
        <v>940</v>
      </c>
      <c r="N143" s="10"/>
      <c r="O143" s="10">
        <v>9054556</v>
      </c>
      <c r="P143" s="10" t="s">
        <v>683</v>
      </c>
      <c r="Q143" s="20" t="s">
        <v>941</v>
      </c>
      <c r="R143" s="10" t="s">
        <v>23</v>
      </c>
      <c r="S143" s="7"/>
      <c r="T143" s="10"/>
      <c r="U143" s="5"/>
    </row>
    <row r="144" spans="1:21" x14ac:dyDescent="0.25">
      <c r="A144" s="12" t="s">
        <v>910</v>
      </c>
      <c r="B144" s="19">
        <f t="shared" si="2"/>
        <v>1</v>
      </c>
      <c r="C144" s="13" t="s">
        <v>6</v>
      </c>
      <c r="D144" s="13" t="s">
        <v>6</v>
      </c>
      <c r="E144" s="51" t="s">
        <v>702</v>
      </c>
      <c r="F144" s="16">
        <v>44315</v>
      </c>
      <c r="G144" s="14" t="s">
        <v>161</v>
      </c>
      <c r="H144" s="16">
        <v>44314</v>
      </c>
      <c r="I144" s="15"/>
      <c r="J144" s="15" t="s">
        <v>828</v>
      </c>
      <c r="K144" s="35" t="s">
        <v>942</v>
      </c>
      <c r="L144" s="15"/>
      <c r="M144" s="35" t="s">
        <v>943</v>
      </c>
      <c r="N144" s="15"/>
      <c r="O144" s="15">
        <v>10841</v>
      </c>
      <c r="P144" s="15" t="s">
        <v>944</v>
      </c>
      <c r="Q144" s="21" t="s">
        <v>945</v>
      </c>
      <c r="R144" s="15" t="s">
        <v>23</v>
      </c>
      <c r="S144" s="17"/>
      <c r="T144" s="15"/>
      <c r="U144" s="5"/>
    </row>
    <row r="145" spans="1:21" ht="43.5" x14ac:dyDescent="0.25">
      <c r="A145" s="6" t="s">
        <v>911</v>
      </c>
      <c r="B145" s="18">
        <f t="shared" si="2"/>
        <v>1</v>
      </c>
      <c r="C145" s="7" t="s">
        <v>8</v>
      </c>
      <c r="D145" s="7" t="s">
        <v>163</v>
      </c>
      <c r="E145" s="50" t="s">
        <v>711</v>
      </c>
      <c r="F145" s="9">
        <v>44316</v>
      </c>
      <c r="G145" s="8" t="s">
        <v>161</v>
      </c>
      <c r="H145" s="9">
        <v>44315</v>
      </c>
      <c r="I145" s="10"/>
      <c r="J145" s="10" t="s">
        <v>247</v>
      </c>
      <c r="K145" s="36" t="s">
        <v>946</v>
      </c>
      <c r="L145" s="10"/>
      <c r="M145" s="36" t="s">
        <v>947</v>
      </c>
      <c r="N145" s="10"/>
      <c r="O145" s="10">
        <v>21949</v>
      </c>
      <c r="P145" s="10" t="s">
        <v>948</v>
      </c>
      <c r="Q145" s="39" t="s">
        <v>949</v>
      </c>
      <c r="R145" s="10" t="s">
        <v>985</v>
      </c>
      <c r="S145" s="7"/>
      <c r="T145" s="10"/>
      <c r="U145" s="5"/>
    </row>
    <row r="146" spans="1:21" ht="29.25" x14ac:dyDescent="0.25">
      <c r="A146" s="12" t="s">
        <v>912</v>
      </c>
      <c r="B146" s="19">
        <f t="shared" si="2"/>
        <v>1</v>
      </c>
      <c r="C146" s="13" t="s">
        <v>4</v>
      </c>
      <c r="D146" s="13" t="s">
        <v>173</v>
      </c>
      <c r="E146" s="51" t="s">
        <v>950</v>
      </c>
      <c r="F146" s="16">
        <v>44328</v>
      </c>
      <c r="G146" s="14" t="s">
        <v>161</v>
      </c>
      <c r="H146" s="16">
        <v>44302</v>
      </c>
      <c r="I146" s="15"/>
      <c r="J146" s="15">
        <v>5.0999999999999996</v>
      </c>
      <c r="K146" s="35"/>
      <c r="L146" s="15"/>
      <c r="M146" s="35" t="s">
        <v>951</v>
      </c>
      <c r="N146" s="15"/>
      <c r="O146" s="15">
        <v>3092740</v>
      </c>
      <c r="P146" s="15" t="s">
        <v>952</v>
      </c>
      <c r="Q146" s="38" t="s">
        <v>953</v>
      </c>
      <c r="R146" s="15" t="s">
        <v>985</v>
      </c>
      <c r="S146" s="17"/>
      <c r="T146" s="15"/>
      <c r="U146" s="5"/>
    </row>
    <row r="147" spans="1:21" ht="43.5" x14ac:dyDescent="0.25">
      <c r="A147" s="6" t="s">
        <v>913</v>
      </c>
      <c r="B147" s="18">
        <f t="shared" si="2"/>
        <v>1</v>
      </c>
      <c r="C147" s="7" t="s">
        <v>7</v>
      </c>
      <c r="D147" s="7" t="s">
        <v>182</v>
      </c>
      <c r="E147" s="50" t="s">
        <v>954</v>
      </c>
      <c r="F147" s="9">
        <v>44328</v>
      </c>
      <c r="G147" s="8" t="s">
        <v>161</v>
      </c>
      <c r="H147" s="9">
        <v>44313</v>
      </c>
      <c r="I147" s="10"/>
      <c r="J147" s="10" t="s">
        <v>828</v>
      </c>
      <c r="K147" s="36" t="s">
        <v>955</v>
      </c>
      <c r="L147" s="10"/>
      <c r="M147" s="36" t="s">
        <v>956</v>
      </c>
      <c r="N147" s="10"/>
      <c r="O147" s="10">
        <v>9842</v>
      </c>
      <c r="P147" s="10" t="s">
        <v>957</v>
      </c>
      <c r="Q147" s="39" t="s">
        <v>958</v>
      </c>
      <c r="R147" s="10" t="s">
        <v>985</v>
      </c>
      <c r="S147" s="7"/>
      <c r="T147" s="10"/>
      <c r="U147" s="5"/>
    </row>
    <row r="148" spans="1:21" x14ac:dyDescent="0.25">
      <c r="A148" s="12" t="s">
        <v>914</v>
      </c>
      <c r="B148" s="19">
        <v>1</v>
      </c>
      <c r="C148" s="13" t="s">
        <v>4</v>
      </c>
      <c r="D148" s="13" t="s">
        <v>173</v>
      </c>
      <c r="E148" s="51" t="s">
        <v>710</v>
      </c>
      <c r="F148" s="16">
        <v>44341</v>
      </c>
      <c r="G148" s="14" t="s">
        <v>164</v>
      </c>
      <c r="H148" s="16">
        <v>44333</v>
      </c>
      <c r="I148" s="15"/>
      <c r="J148" s="15" t="s">
        <v>1084</v>
      </c>
      <c r="K148" s="35" t="s">
        <v>1069</v>
      </c>
      <c r="L148" s="15"/>
      <c r="M148" s="35" t="s">
        <v>1070</v>
      </c>
      <c r="N148" s="15"/>
      <c r="O148" s="15">
        <v>2801</v>
      </c>
      <c r="P148" s="15" t="s">
        <v>1071</v>
      </c>
      <c r="Q148" s="21" t="s">
        <v>1072</v>
      </c>
      <c r="R148" s="15" t="s">
        <v>985</v>
      </c>
      <c r="S148" s="17"/>
      <c r="T148" s="15"/>
      <c r="U148" s="5"/>
    </row>
    <row r="149" spans="1:21" x14ac:dyDescent="0.25">
      <c r="A149" s="6" t="s">
        <v>1000</v>
      </c>
      <c r="B149" s="18">
        <v>1</v>
      </c>
      <c r="C149" s="7" t="s">
        <v>6</v>
      </c>
      <c r="D149" s="7" t="s">
        <v>6</v>
      </c>
      <c r="E149" s="50" t="s">
        <v>339</v>
      </c>
      <c r="F149" s="9">
        <v>44342</v>
      </c>
      <c r="G149" s="8" t="s">
        <v>161</v>
      </c>
      <c r="H149" s="9">
        <v>44342</v>
      </c>
      <c r="I149" s="10"/>
      <c r="J149" s="10" t="s">
        <v>247</v>
      </c>
      <c r="K149" s="36" t="s">
        <v>1074</v>
      </c>
      <c r="L149" s="10"/>
      <c r="M149" s="36" t="s">
        <v>1076</v>
      </c>
      <c r="N149" s="10"/>
      <c r="O149" s="10">
        <v>15180</v>
      </c>
      <c r="P149" s="10" t="s">
        <v>1075</v>
      </c>
      <c r="Q149" s="20" t="s">
        <v>1077</v>
      </c>
      <c r="R149" s="10" t="s">
        <v>985</v>
      </c>
      <c r="S149" s="7"/>
      <c r="T149" s="10"/>
      <c r="U149" s="5"/>
    </row>
    <row r="150" spans="1:21" x14ac:dyDescent="0.25">
      <c r="A150" s="12" t="s">
        <v>1004</v>
      </c>
      <c r="B150" s="19">
        <v>1</v>
      </c>
      <c r="C150" s="13" t="s">
        <v>8</v>
      </c>
      <c r="D150" s="13" t="s">
        <v>163</v>
      </c>
      <c r="E150" s="51" t="s">
        <v>703</v>
      </c>
      <c r="F150" s="16">
        <v>44343</v>
      </c>
      <c r="G150" s="14" t="s">
        <v>161</v>
      </c>
      <c r="H150" s="16">
        <v>44335</v>
      </c>
      <c r="I150" s="15"/>
      <c r="J150" s="15" t="s">
        <v>1085</v>
      </c>
      <c r="K150" s="35" t="s">
        <v>1086</v>
      </c>
      <c r="L150" s="15"/>
      <c r="M150" s="35" t="s">
        <v>1088</v>
      </c>
      <c r="N150" s="15"/>
      <c r="O150" s="15">
        <v>23462</v>
      </c>
      <c r="P150" s="15" t="s">
        <v>1087</v>
      </c>
      <c r="Q150" s="21" t="s">
        <v>1089</v>
      </c>
      <c r="R150" s="15" t="s">
        <v>985</v>
      </c>
      <c r="S150" s="17"/>
      <c r="T150" s="15"/>
      <c r="U150" s="5"/>
    </row>
    <row r="151" spans="1:21" ht="43.5" x14ac:dyDescent="0.25">
      <c r="A151" s="6" t="s">
        <v>1008</v>
      </c>
      <c r="B151" s="18">
        <f t="shared" si="2"/>
        <v>1</v>
      </c>
      <c r="C151" s="7" t="s">
        <v>6</v>
      </c>
      <c r="D151" s="7" t="s">
        <v>6</v>
      </c>
      <c r="E151" s="50" t="s">
        <v>339</v>
      </c>
      <c r="F151" s="9">
        <v>44343</v>
      </c>
      <c r="G151" s="8" t="s">
        <v>161</v>
      </c>
      <c r="H151" s="9">
        <v>44343</v>
      </c>
      <c r="I151" s="10"/>
      <c r="J151" s="10" t="s">
        <v>247</v>
      </c>
      <c r="K151" s="36" t="s">
        <v>1090</v>
      </c>
      <c r="L151" s="10"/>
      <c r="M151" s="36" t="s">
        <v>1091</v>
      </c>
      <c r="N151" s="10"/>
      <c r="O151" s="10">
        <v>13908</v>
      </c>
      <c r="P151" s="10" t="s">
        <v>1092</v>
      </c>
      <c r="Q151" s="39" t="s">
        <v>1093</v>
      </c>
      <c r="R151" s="10" t="s">
        <v>985</v>
      </c>
      <c r="S151" s="7"/>
      <c r="T151" s="10"/>
      <c r="U151" s="5"/>
    </row>
    <row r="152" spans="1:21" ht="29.25" x14ac:dyDescent="0.25">
      <c r="A152" s="12" t="s">
        <v>1011</v>
      </c>
      <c r="B152" s="19">
        <f t="shared" si="2"/>
        <v>1</v>
      </c>
      <c r="C152" s="13" t="s">
        <v>6</v>
      </c>
      <c r="D152" s="13" t="s">
        <v>6</v>
      </c>
      <c r="E152" s="51" t="s">
        <v>566</v>
      </c>
      <c r="F152" s="16">
        <v>44344</v>
      </c>
      <c r="G152" s="14" t="s">
        <v>161</v>
      </c>
      <c r="H152" s="16">
        <v>44343</v>
      </c>
      <c r="I152" s="15"/>
      <c r="J152" s="21">
        <v>5.0999999999999996</v>
      </c>
      <c r="K152" s="35"/>
      <c r="L152" s="15"/>
      <c r="M152" s="35" t="s">
        <v>1094</v>
      </c>
      <c r="N152" s="15"/>
      <c r="O152" s="51" t="s">
        <v>1096</v>
      </c>
      <c r="P152" s="15" t="s">
        <v>1095</v>
      </c>
      <c r="Q152" s="53" t="s">
        <v>1097</v>
      </c>
      <c r="R152" s="15" t="s">
        <v>985</v>
      </c>
      <c r="S152" s="17"/>
      <c r="T152" s="15"/>
      <c r="U152" s="5"/>
    </row>
    <row r="153" spans="1:21" ht="29.25" x14ac:dyDescent="0.25">
      <c r="A153" s="6" t="s">
        <v>1015</v>
      </c>
      <c r="B153" s="18">
        <f t="shared" si="2"/>
        <v>1</v>
      </c>
      <c r="C153" s="7" t="s">
        <v>6</v>
      </c>
      <c r="D153" s="7" t="s">
        <v>6</v>
      </c>
      <c r="E153" s="50" t="s">
        <v>339</v>
      </c>
      <c r="F153" s="9">
        <v>44344</v>
      </c>
      <c r="G153" s="8" t="s">
        <v>161</v>
      </c>
      <c r="H153" s="9">
        <v>44344</v>
      </c>
      <c r="I153" s="10"/>
      <c r="J153" s="10" t="s">
        <v>828</v>
      </c>
      <c r="K153" s="36" t="s">
        <v>1100</v>
      </c>
      <c r="L153" s="10"/>
      <c r="M153" s="36" t="s">
        <v>1102</v>
      </c>
      <c r="N153" s="10"/>
      <c r="O153" s="10">
        <v>2472617</v>
      </c>
      <c r="P153" s="10" t="s">
        <v>1101</v>
      </c>
      <c r="Q153" s="20" t="s">
        <v>1103</v>
      </c>
      <c r="R153" s="10" t="s">
        <v>985</v>
      </c>
      <c r="S153" s="7"/>
      <c r="T153" s="10"/>
      <c r="U153" s="5"/>
    </row>
    <row r="154" spans="1:21" x14ac:dyDescent="0.25">
      <c r="A154" s="12" t="s">
        <v>1019</v>
      </c>
      <c r="B154" s="18">
        <f t="shared" ref="B154" si="3">CHOOSE(MONTH(H154), 4,4,4,1,1,1,2,2,2,3,3,3)</f>
        <v>1</v>
      </c>
      <c r="C154" s="7" t="s">
        <v>6</v>
      </c>
      <c r="D154" s="7" t="s">
        <v>6</v>
      </c>
      <c r="E154" s="50" t="s">
        <v>339</v>
      </c>
      <c r="F154" s="9">
        <v>44349</v>
      </c>
      <c r="G154" s="8" t="s">
        <v>161</v>
      </c>
      <c r="H154" s="16">
        <v>44349</v>
      </c>
      <c r="I154" s="15"/>
      <c r="J154" s="15" t="s">
        <v>247</v>
      </c>
      <c r="K154" s="35" t="s">
        <v>479</v>
      </c>
      <c r="L154" s="15"/>
      <c r="M154" s="35" t="s">
        <v>1119</v>
      </c>
      <c r="N154" s="15"/>
      <c r="O154" s="55">
        <v>1873540</v>
      </c>
      <c r="P154" s="54" t="s">
        <v>1120</v>
      </c>
      <c r="Q154" s="21" t="s">
        <v>1121</v>
      </c>
      <c r="R154" s="15" t="s">
        <v>985</v>
      </c>
      <c r="S154" s="17"/>
      <c r="T154" s="15"/>
      <c r="U154" s="5"/>
    </row>
    <row r="155" spans="1:21" ht="29.25" x14ac:dyDescent="0.25">
      <c r="A155" s="6" t="s">
        <v>1023</v>
      </c>
      <c r="B155" s="18">
        <v>1</v>
      </c>
      <c r="C155" s="7" t="s">
        <v>8</v>
      </c>
      <c r="D155" s="7" t="s">
        <v>163</v>
      </c>
      <c r="E155" s="50" t="s">
        <v>712</v>
      </c>
      <c r="F155" s="9">
        <v>44356</v>
      </c>
      <c r="G155" s="8" t="s">
        <v>164</v>
      </c>
      <c r="H155" s="9">
        <v>44354</v>
      </c>
      <c r="I155" s="10"/>
      <c r="J155" s="10" t="s">
        <v>843</v>
      </c>
      <c r="K155" s="36" t="s">
        <v>820</v>
      </c>
      <c r="L155" s="10" t="s">
        <v>1130</v>
      </c>
      <c r="M155" s="36" t="s">
        <v>1131</v>
      </c>
      <c r="N155" s="10"/>
      <c r="O155" s="10">
        <v>3293731</v>
      </c>
      <c r="P155" s="10" t="s">
        <v>1132</v>
      </c>
      <c r="Q155" s="39" t="s">
        <v>1133</v>
      </c>
      <c r="R155" s="10" t="s">
        <v>985</v>
      </c>
      <c r="S155" s="7"/>
      <c r="T155" s="10"/>
      <c r="U155" s="5"/>
    </row>
    <row r="156" spans="1:21" ht="15" customHeight="1" x14ac:dyDescent="0.25">
      <c r="A156" s="12" t="s">
        <v>1026</v>
      </c>
      <c r="B156" s="19">
        <f t="shared" si="2"/>
        <v>1</v>
      </c>
      <c r="C156" s="13" t="s">
        <v>5</v>
      </c>
      <c r="D156" s="13" t="s">
        <v>5</v>
      </c>
      <c r="E156" s="51" t="s">
        <v>323</v>
      </c>
      <c r="F156" s="16">
        <v>44357</v>
      </c>
      <c r="G156" s="14" t="s">
        <v>164</v>
      </c>
      <c r="H156" s="16">
        <v>44351</v>
      </c>
      <c r="I156" s="15"/>
      <c r="J156" s="15" t="s">
        <v>246</v>
      </c>
      <c r="K156" s="36" t="s">
        <v>820</v>
      </c>
      <c r="L156" s="10" t="s">
        <v>1134</v>
      </c>
      <c r="M156" s="35" t="s">
        <v>1135</v>
      </c>
      <c r="N156" s="15"/>
      <c r="O156" s="15">
        <v>5174</v>
      </c>
      <c r="P156" s="15" t="s">
        <v>1136</v>
      </c>
      <c r="Q156" s="21" t="s">
        <v>1137</v>
      </c>
      <c r="R156" s="15" t="s">
        <v>985</v>
      </c>
      <c r="S156" s="17"/>
      <c r="T156" s="15"/>
      <c r="U156" s="5"/>
    </row>
    <row r="157" spans="1:21" ht="57.75" x14ac:dyDescent="0.25">
      <c r="A157" s="6" t="s">
        <v>1029</v>
      </c>
      <c r="B157" s="18">
        <v>1</v>
      </c>
      <c r="C157" s="7" t="s">
        <v>4</v>
      </c>
      <c r="D157" s="7" t="s">
        <v>170</v>
      </c>
      <c r="E157" s="50" t="s">
        <v>420</v>
      </c>
      <c r="F157" s="9">
        <v>44358</v>
      </c>
      <c r="G157" s="8" t="s">
        <v>174</v>
      </c>
      <c r="H157" s="9">
        <v>44337</v>
      </c>
      <c r="I157" s="10"/>
      <c r="J157" s="10"/>
      <c r="K157" s="36">
        <v>18.100000000000001</v>
      </c>
      <c r="L157" s="10"/>
      <c r="M157" s="36" t="s">
        <v>1144</v>
      </c>
      <c r="N157" s="10"/>
      <c r="O157" s="10">
        <v>2901</v>
      </c>
      <c r="P157" s="36" t="s">
        <v>1145</v>
      </c>
      <c r="Q157" s="39" t="s">
        <v>1146</v>
      </c>
      <c r="R157" s="10" t="s">
        <v>985</v>
      </c>
      <c r="S157" s="7"/>
      <c r="T157" s="10"/>
      <c r="U157" s="5"/>
    </row>
    <row r="158" spans="1:21" ht="29.25" x14ac:dyDescent="0.25">
      <c r="A158" s="12" t="s">
        <v>1032</v>
      </c>
      <c r="B158" s="19">
        <f t="shared" si="2"/>
        <v>1</v>
      </c>
      <c r="C158" s="13" t="s">
        <v>6</v>
      </c>
      <c r="D158" s="13" t="s">
        <v>6</v>
      </c>
      <c r="E158" s="51" t="s">
        <v>969</v>
      </c>
      <c r="F158" s="16">
        <v>44358</v>
      </c>
      <c r="G158" s="14" t="s">
        <v>161</v>
      </c>
      <c r="H158" s="16">
        <v>44350</v>
      </c>
      <c r="I158" s="15"/>
      <c r="J158" s="15" t="s">
        <v>246</v>
      </c>
      <c r="K158" s="35" t="s">
        <v>1147</v>
      </c>
      <c r="L158" s="15" t="s">
        <v>1148</v>
      </c>
      <c r="M158" s="35" t="s">
        <v>1149</v>
      </c>
      <c r="N158" s="15"/>
      <c r="O158" s="15">
        <v>14889</v>
      </c>
      <c r="P158" s="15" t="s">
        <v>1150</v>
      </c>
      <c r="Q158" s="38" t="s">
        <v>1151</v>
      </c>
      <c r="R158" s="15" t="s">
        <v>985</v>
      </c>
      <c r="S158" s="17"/>
      <c r="T158" s="15"/>
      <c r="U158" s="5"/>
    </row>
    <row r="159" spans="1:21" ht="143.25" x14ac:dyDescent="0.25">
      <c r="A159" s="6" t="s">
        <v>1035</v>
      </c>
      <c r="B159" s="18">
        <f t="shared" si="2"/>
        <v>1</v>
      </c>
      <c r="C159" s="7" t="s">
        <v>5</v>
      </c>
      <c r="D159" s="7" t="s">
        <v>5</v>
      </c>
      <c r="E159" s="50" t="s">
        <v>698</v>
      </c>
      <c r="F159" s="95" t="s">
        <v>1202</v>
      </c>
      <c r="G159" s="8" t="s">
        <v>38</v>
      </c>
      <c r="H159" s="9">
        <v>44363</v>
      </c>
      <c r="I159" s="10"/>
      <c r="J159" s="10" t="s">
        <v>1169</v>
      </c>
      <c r="K159" s="36" t="s">
        <v>1170</v>
      </c>
      <c r="L159" s="10" t="s">
        <v>1168</v>
      </c>
      <c r="M159" s="36" t="s">
        <v>1152</v>
      </c>
      <c r="N159" s="10"/>
      <c r="O159" s="10">
        <v>4480</v>
      </c>
      <c r="P159" s="10"/>
      <c r="Q159" s="39" t="s">
        <v>1203</v>
      </c>
      <c r="R159" s="10" t="s">
        <v>985</v>
      </c>
      <c r="S159" s="7"/>
      <c r="T159" s="10"/>
      <c r="U159" s="5"/>
    </row>
    <row r="160" spans="1:21" ht="43.5" x14ac:dyDescent="0.25">
      <c r="A160" s="12" t="s">
        <v>1039</v>
      </c>
      <c r="B160" s="19">
        <f t="shared" si="2"/>
        <v>1</v>
      </c>
      <c r="C160" s="13" t="s">
        <v>7</v>
      </c>
      <c r="D160" s="13" t="s">
        <v>167</v>
      </c>
      <c r="E160" s="51" t="s">
        <v>1156</v>
      </c>
      <c r="F160" s="16">
        <v>44362</v>
      </c>
      <c r="G160" s="14" t="s">
        <v>1157</v>
      </c>
      <c r="H160" s="16">
        <v>44333</v>
      </c>
      <c r="I160" s="15"/>
      <c r="J160" s="15" t="s">
        <v>1158</v>
      </c>
      <c r="K160" s="35" t="s">
        <v>455</v>
      </c>
      <c r="L160" s="15"/>
      <c r="M160" s="35" t="s">
        <v>1159</v>
      </c>
      <c r="N160" s="15"/>
      <c r="O160" s="15">
        <v>9003433</v>
      </c>
      <c r="P160" s="15" t="s">
        <v>1160</v>
      </c>
      <c r="Q160" s="38" t="s">
        <v>1161</v>
      </c>
      <c r="R160" s="15" t="s">
        <v>985</v>
      </c>
      <c r="S160" s="17"/>
      <c r="T160" s="15"/>
      <c r="U160" s="5"/>
    </row>
    <row r="161" spans="1:21" x14ac:dyDescent="0.25">
      <c r="A161" s="6" t="s">
        <v>1042</v>
      </c>
      <c r="B161" s="18">
        <f t="shared" si="2"/>
        <v>1</v>
      </c>
      <c r="C161" s="7" t="s">
        <v>8</v>
      </c>
      <c r="D161" s="7" t="s">
        <v>163</v>
      </c>
      <c r="E161" s="50" t="s">
        <v>712</v>
      </c>
      <c r="F161" s="9">
        <v>44368</v>
      </c>
      <c r="G161" s="8" t="s">
        <v>1177</v>
      </c>
      <c r="H161" s="9">
        <v>44357</v>
      </c>
      <c r="I161" s="10"/>
      <c r="J161" s="10" t="s">
        <v>1158</v>
      </c>
      <c r="K161" s="36" t="s">
        <v>1178</v>
      </c>
      <c r="L161" s="10"/>
      <c r="M161" s="36" t="s">
        <v>1179</v>
      </c>
      <c r="N161" s="10"/>
      <c r="O161" s="10">
        <v>2712653</v>
      </c>
      <c r="P161" s="10" t="s">
        <v>1180</v>
      </c>
      <c r="Q161" s="20" t="s">
        <v>1181</v>
      </c>
      <c r="R161" s="10" t="s">
        <v>985</v>
      </c>
      <c r="S161" s="7"/>
      <c r="T161" s="10"/>
      <c r="U161" s="5"/>
    </row>
  </sheetData>
  <sheetProtection formatCells="0" autoFilter="0"/>
  <dataValidations count="34">
    <dataValidation allowBlank="1" showInputMessage="1" showErrorMessage="1" promptTitle="Province" prompt="Select from drop-down menu_x000a_Province in which enforcement action was issued" sqref="D1" xr:uid="{00000000-0002-0000-0000-000000000000}"/>
    <dataValidation allowBlank="1" showInputMessage="1" showErrorMessage="1" promptTitle="Issued By" prompt="Name of the inspector who issued the safety or enforcement tool. _x000a_Format: LAST NAME, First Name" sqref="E1" xr:uid="{00000000-0002-0000-0000-000001000000}"/>
    <dataValidation allowBlank="1" showInputMessage="1" showErrorMessage="1" promptTitle="Date Received" prompt="Include date when the enforcement or safety tool was received in the TDG Enforcement Inbox" sqref="F1" xr:uid="{00000000-0002-0000-0000-000002000000}"/>
    <dataValidation allowBlank="1" showInputMessage="1" showErrorMessage="1" promptTitle="Date Action Taken" prompt="Include the date for which the Enforcement Action was issued" sqref="H1" xr:uid="{00000000-0002-0000-0000-000003000000}"/>
    <dataValidation allowBlank="1" showInputMessage="1" showErrorMessage="1" promptTitle="Totale Fine Charged" prompt="If enforcement action is a ticket, include the total amount indicated on the ticket." sqref="I1" xr:uid="{00000000-0002-0000-0000-000004000000}"/>
    <dataValidation allowBlank="1" showInputMessage="1" showErrorMessage="1" promptTitle="TDG Act Reference" prompt="Include the relevant section(s) of the TDG Act for which the enforcement action was issued for" sqref="J1" xr:uid="{00000000-0002-0000-0000-000005000000}"/>
    <dataValidation allowBlank="1" showInputMessage="1" showErrorMessage="1" promptTitle="TDG Regulations Reference" prompt="Include the relevant section(s) of the TDG Regulations for which the enforcement action was issued for" sqref="K1" xr:uid="{00000000-0002-0000-0000-000006000000}"/>
    <dataValidation allowBlank="1" showInputMessage="1" showErrorMessage="1" promptTitle="Standards/IMDG/ICAO TI/49 CFR" prompt="Include the relevant section(s) of the relevant safety standards, IMDG Code, ICAO, or 49 CFR for which the enforcement action was issued for" sqref="L1" xr:uid="{00000000-0002-0000-0000-000007000000}"/>
    <dataValidation allowBlank="1" showInputMessage="1" showErrorMessage="1" promptTitle="Enforcement Action Issued To" prompt="Name of entity appearing on the enforcement action" sqref="M1" xr:uid="{00000000-0002-0000-0000-000008000000}"/>
    <dataValidation allowBlank="1" showInputMessage="1" showErrorMessage="1" promptTitle="Offender Name" prompt="Name of offender which may differ from the name appearing on the enforcement action if the consignor is not in care and control of the MOC/DG at the time when the enforcement action was issued." sqref="N1" xr:uid="{00000000-0002-0000-0000-000009000000}"/>
    <dataValidation allowBlank="1" showInputMessage="1" showErrorMessage="1" promptTitle="IIS ID Number" prompt="Include ID number from IIS for entity issued enforcement action" sqref="O1" xr:uid="{00000000-0002-0000-0000-00000A000000}"/>
    <dataValidation allowBlank="1" showInputMessage="1" showErrorMessage="1" promptTitle="IIS Activity Number" prompt="Include the IIS Activity Number from the inspection report associated with the enforcement action" sqref="P1" xr:uid="{00000000-0002-0000-0000-00000B000000}"/>
    <dataValidation allowBlank="1" showInputMessage="1" showErrorMessage="1" promptTitle="Posted to the Web" prompt="For AS-03 web tracking" sqref="S1" xr:uid="{00000000-0002-0000-0000-00000F000000}"/>
    <dataValidation allowBlank="1" showErrorMessage="1" prompt="Include the RDIMS number for all emails sent" sqref="Q2" xr:uid="{00000000-0002-0000-0000-000010000000}"/>
    <dataValidation allowBlank="1" showErrorMessage="1" promptTitle="Province" prompt="Select from drop-down menu" sqref="D2" xr:uid="{00000000-0002-0000-0000-000011000000}"/>
    <dataValidation allowBlank="1" showErrorMessage="1" promptTitle="Issued By" prompt="Name of the inspector who issued the safety or enforcement tool. _x000a_Format: LAST NAME, First Name" sqref="E2" xr:uid="{00000000-0002-0000-0000-000012000000}"/>
    <dataValidation allowBlank="1" showErrorMessage="1" promptTitle="Date Received" prompt="Include date when the enforcement or safety tool was received in the TDG Enforcement Inbox" sqref="F2" xr:uid="{00000000-0002-0000-0000-000013000000}"/>
    <dataValidation allowBlank="1" showErrorMessage="1" promptTitle="Date Action Taken" prompt="Include the date for which the Enforcement Action was issued" sqref="H2" xr:uid="{00000000-0002-0000-0000-000014000000}"/>
    <dataValidation allowBlank="1" showErrorMessage="1" promptTitle="Totale Fine Charged" prompt="If enforcement action is a ticket, include the total amount indicated on the ticket." sqref="I2" xr:uid="{00000000-0002-0000-0000-000015000000}"/>
    <dataValidation allowBlank="1" showErrorMessage="1" promptTitle="TDG Act Reference" prompt="Include the relevant section(s) of the TDG Act for which the enforcement action was issued for" sqref="J2" xr:uid="{00000000-0002-0000-0000-000016000000}"/>
    <dataValidation allowBlank="1" showErrorMessage="1" promptTitle="TDG Regulations Reference" prompt="Include the relevant section(s) of the TDG Regulations for which the enforcement action was issued for" sqref="K2" xr:uid="{00000000-0002-0000-0000-000017000000}"/>
    <dataValidation allowBlank="1" showErrorMessage="1" promptTitle="Standards/IMDG/ICAO TI/49 CFR" prompt="Include the relevant section(s) of the relevant safety standards, IMDG Code, ICAO, or 49 CFR for which the enforcement action was issued for" sqref="L2" xr:uid="{00000000-0002-0000-0000-000018000000}"/>
    <dataValidation allowBlank="1" showErrorMessage="1" promptTitle="Enforcement Action Issued To" prompt="Name of entity appearing on the enforcement action" sqref="M2" xr:uid="{00000000-0002-0000-0000-000019000000}"/>
    <dataValidation allowBlank="1" showErrorMessage="1" promptTitle="IIS ID Number" prompt="Include ID number from IIS for entity issued enforcement action" sqref="O2" xr:uid="{00000000-0002-0000-0000-00001A000000}"/>
    <dataValidation allowBlank="1" showErrorMessage="1" promptTitle="IIS Activity Number" prompt="Include the IIS Activity Number from the inspection report associated with the enforcement action" sqref="P2" xr:uid="{00000000-0002-0000-0000-00001B000000}"/>
    <dataValidation allowBlank="1" showErrorMessage="1" promptTitle="Logged by" prompt="Select from drop down menu" sqref="R2" xr:uid="{00000000-0002-0000-0000-00001C000000}"/>
    <dataValidation allowBlank="1" showErrorMessage="1" promptTitle="Posted to the Web" prompt="For AS-03 web tracking" sqref="S2" xr:uid="{00000000-0002-0000-0000-00001D000000}"/>
    <dataValidation allowBlank="1" showErrorMessage="1" promptTitle="Date Posted" prompt="Include date for which information was posted to the web" sqref="T2" xr:uid="{00000000-0002-0000-0000-00001E000000}"/>
    <dataValidation allowBlank="1" showErrorMessage="1" promptTitle="Offender Name" prompt="Name of offender which may differ from the name appearing on the enforcement action if the consignor is not in care and control of the MOC/DG at the time when the enforcement action was issued." sqref="N2" xr:uid="{00000000-0002-0000-0000-00001F000000}"/>
    <dataValidation allowBlank="1" showInputMessage="1" showErrorMessage="1" promptTitle="Region" prompt="Select from drop-down menu_x000a_Region in which enforcement action was issued" sqref="C1" xr:uid="{00000000-0002-0000-0000-000020000000}"/>
    <dataValidation allowBlank="1" showInputMessage="1" showErrorMessage="1" promptTitle="Type of Enforcement Action" prompt="NOI - Notice of Infraction_x000a_DN - Detention Notice_x000a_NDRNC - Notice of Direction to Remedy Non-Compliance_x000a_NDNI - Notice of Direction Not to Import_x000a_T - Ticket_x000a_9(2) - Notice of defective construction or recall_x000a_9(3) - Notice of defective repair or testing" sqref="G1" xr:uid="{00000000-0002-0000-0000-000021000000}"/>
    <dataValidation allowBlank="1" showInputMessage="1" showErrorMessage="1" promptTitle="RDIMS Reference" prompt="Include the RDIMS number for all emails sent" sqref="Q1" xr:uid="{00000000-0002-0000-0000-00000C000000}"/>
    <dataValidation allowBlank="1" showInputMessage="1" showErrorMessage="1" promptTitle="Logged by" prompt="Select from drop down menu" sqref="R1" xr:uid="{00000000-0002-0000-0000-00000D000000}"/>
    <dataValidation allowBlank="1" showInputMessage="1" showErrorMessage="1" promptTitle="Date Posted" prompt="Include date for which information was posted to the web" sqref="T1" xr:uid="{00000000-0002-0000-0000-00000E000000}"/>
  </dataValidations>
  <pageMargins left="0.7" right="0.7" top="0.75" bottom="0.75" header="0.3" footer="0.3"/>
  <pageSetup orientation="portrait" r:id="rId1"/>
  <tableParts count="1">
    <tablePart r:id="rId2"/>
  </tableParts>
  <extLst>
    <ext xmlns:x14="http://schemas.microsoft.com/office/spreadsheetml/2009/9/main" uri="{CCE6A557-97BC-4b89-ADB6-D9C93CAAB3DF}">
      <x14:dataValidations xmlns:xm="http://schemas.microsoft.com/office/excel/2006/main" count="7">
        <x14:dataValidation type="list" allowBlank="1" showInputMessage="1" showErrorMessage="1" xr:uid="{00000000-0002-0000-0000-000024000000}">
          <x14:formula1>
            <xm:f>References!$E$12:$E$18</xm:f>
          </x14:formula1>
          <xm:sqref>G3:G135 G137:G158</xm:sqref>
        </x14:dataValidation>
        <x14:dataValidation type="list" allowBlank="1" showInputMessage="1" showErrorMessage="1" xr:uid="{00000000-0002-0000-0000-000026000000}">
          <x14:formula1>
            <xm:f>References!$E$12:$E$19</xm:f>
          </x14:formula1>
          <xm:sqref>G160</xm:sqref>
        </x14:dataValidation>
        <x14:dataValidation type="list" allowBlank="1" showInputMessage="1" showErrorMessage="1" xr:uid="{00000000-0002-0000-0000-000027000000}">
          <x14:formula1>
            <xm:f>References!$E$12:$E$20</xm:f>
          </x14:formula1>
          <xm:sqref>G159</xm:sqref>
        </x14:dataValidation>
        <x14:dataValidation type="list" allowBlank="1" showInputMessage="1" showErrorMessage="1" xr:uid="{00000000-0002-0000-0000-000028000000}">
          <x14:formula1>
            <xm:f>References!$E$12:$E$21</xm:f>
          </x14:formula1>
          <xm:sqref>G161 G136</xm:sqref>
        </x14:dataValidation>
        <x14:dataValidation type="list" allowBlank="1" showInputMessage="1" showErrorMessage="1" xr:uid="{00000000-0002-0000-0000-000022000000}">
          <x14:formula1>
            <xm:f>References!$D$12:$D$24</xm:f>
          </x14:formula1>
          <xm:sqref>D3:D161</xm:sqref>
        </x14:dataValidation>
        <x14:dataValidation type="list" allowBlank="1" showInputMessage="1" showErrorMessage="1" xr:uid="{00000000-0002-0000-0000-000023000000}">
          <x14:formula1>
            <xm:f>References!$C$12:$C$17</xm:f>
          </x14:formula1>
          <xm:sqref>C3:C161</xm:sqref>
        </x14:dataValidation>
        <x14:dataValidation type="list" allowBlank="1" showInputMessage="1" showErrorMessage="1" xr:uid="{00000000-0002-0000-0000-000025000000}">
          <x14:formula1>
            <xm:f>References!$G$2:$G$7</xm:f>
          </x14:formula1>
          <xm:sqref>R3:R161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1">
    <tabColor theme="4" tint="0.39997558519241921"/>
  </sheetPr>
  <dimension ref="A1:AC156"/>
  <sheetViews>
    <sheetView zoomScaleNormal="100" workbookViewId="0">
      <pane xSplit="3" ySplit="2" topLeftCell="M148" activePane="bottomRight" state="frozen"/>
      <selection pane="topRight" activeCell="D1" sqref="D1"/>
      <selection pane="bottomLeft" activeCell="A2" sqref="A2"/>
      <selection pane="bottomRight" activeCell="O163" sqref="O163"/>
    </sheetView>
  </sheetViews>
  <sheetFormatPr defaultColWidth="8.85546875" defaultRowHeight="12.75" x14ac:dyDescent="0.2"/>
  <cols>
    <col min="1" max="1" width="19.7109375" style="71" customWidth="1"/>
    <col min="2" max="2" width="19.7109375" style="75" customWidth="1"/>
    <col min="3" max="3" width="26.5703125" style="73" customWidth="1"/>
    <col min="4" max="4" width="11.7109375" style="72" customWidth="1"/>
    <col min="5" max="5" width="17.7109375" style="74" customWidth="1"/>
    <col min="6" max="6" width="37.5703125" style="73" customWidth="1"/>
    <col min="7" max="7" width="26.5703125" style="72" customWidth="1"/>
    <col min="8" max="10" width="21.42578125" style="74" customWidth="1"/>
    <col min="11" max="12" width="17.7109375" style="72" customWidth="1"/>
    <col min="13" max="13" width="26.5703125" style="75" customWidth="1"/>
    <col min="14" max="14" width="23.42578125" style="72" bestFit="1" customWidth="1"/>
    <col min="15" max="16" width="26.5703125" style="72" customWidth="1"/>
    <col min="17" max="17" width="51.140625" style="84" customWidth="1"/>
    <col min="18" max="18" width="26.5703125" style="72" customWidth="1"/>
    <col min="19" max="16384" width="8.85546875" style="33"/>
  </cols>
  <sheetData>
    <row r="1" spans="1:23" s="28" customFormat="1" x14ac:dyDescent="0.2">
      <c r="A1" s="96" t="s">
        <v>194</v>
      </c>
      <c r="B1" s="96"/>
      <c r="C1" s="97"/>
      <c r="D1" s="97"/>
      <c r="E1" s="97"/>
      <c r="F1" s="97"/>
      <c r="G1" s="97"/>
      <c r="H1" s="97"/>
      <c r="I1" s="97"/>
      <c r="J1" s="97"/>
      <c r="K1" s="97"/>
      <c r="L1" s="97"/>
      <c r="M1" s="97"/>
      <c r="N1" s="97"/>
      <c r="O1" s="97"/>
      <c r="P1" s="97"/>
      <c r="Q1" s="97"/>
      <c r="R1" s="56"/>
    </row>
    <row r="2" spans="1:23" s="30" customFormat="1" ht="38.25" x14ac:dyDescent="0.25">
      <c r="A2" s="86" t="s">
        <v>0</v>
      </c>
      <c r="B2" s="57" t="s">
        <v>233</v>
      </c>
      <c r="C2" s="57" t="s">
        <v>234</v>
      </c>
      <c r="D2" s="57" t="s">
        <v>10</v>
      </c>
      <c r="E2" s="58" t="s">
        <v>188</v>
      </c>
      <c r="F2" s="57" t="s">
        <v>11</v>
      </c>
      <c r="G2" s="57" t="s">
        <v>189</v>
      </c>
      <c r="H2" s="58" t="s">
        <v>190</v>
      </c>
      <c r="I2" s="58" t="s">
        <v>191</v>
      </c>
      <c r="J2" s="58" t="s">
        <v>192</v>
      </c>
      <c r="K2" s="57" t="s">
        <v>193</v>
      </c>
      <c r="L2" s="57" t="s">
        <v>187</v>
      </c>
      <c r="M2" s="57" t="s">
        <v>13</v>
      </c>
      <c r="N2" s="57" t="s">
        <v>2</v>
      </c>
      <c r="O2" s="57" t="s">
        <v>3</v>
      </c>
      <c r="P2" s="57" t="s">
        <v>1</v>
      </c>
      <c r="Q2" s="80" t="s">
        <v>1174</v>
      </c>
      <c r="R2" s="57" t="s">
        <v>235</v>
      </c>
      <c r="S2" s="29"/>
      <c r="T2" s="29"/>
      <c r="U2" s="29"/>
      <c r="V2" s="29"/>
      <c r="W2" s="29"/>
    </row>
    <row r="3" spans="1:23" s="31" customFormat="1" ht="38.25" x14ac:dyDescent="0.25">
      <c r="A3" s="87" t="s">
        <v>35</v>
      </c>
      <c r="B3" s="59" t="str">
        <f t="shared" ref="B3:B66" ca="1" si="0">IF(K3="", IF(C3&lt;&gt;"", (TODAY()-MAX(H3:J3,E3)),""), "Completed")</f>
        <v>Completed</v>
      </c>
      <c r="C3" s="60" t="s">
        <v>215</v>
      </c>
      <c r="D3" s="60" t="s">
        <v>4</v>
      </c>
      <c r="E3" s="61">
        <v>43922</v>
      </c>
      <c r="F3" s="60" t="s">
        <v>206</v>
      </c>
      <c r="G3" s="62"/>
      <c r="H3" s="62"/>
      <c r="I3" s="62"/>
      <c r="J3" s="62"/>
      <c r="K3" s="62">
        <v>43922</v>
      </c>
      <c r="L3" s="62"/>
      <c r="M3" s="60" t="s">
        <v>211</v>
      </c>
      <c r="N3" s="60"/>
      <c r="O3" s="60"/>
      <c r="P3" s="60"/>
      <c r="Q3" s="81" t="s">
        <v>209</v>
      </c>
      <c r="R3" s="59">
        <f t="shared" ref="R3:R34" si="1">IF(K3-E3&gt;0,K3-E3,0)</f>
        <v>0</v>
      </c>
    </row>
    <row r="4" spans="1:23" s="32" customFormat="1" ht="25.5" x14ac:dyDescent="0.25">
      <c r="A4" s="88" t="s">
        <v>39</v>
      </c>
      <c r="B4" s="63" t="str">
        <f t="shared" ca="1" si="0"/>
        <v>Completed</v>
      </c>
      <c r="C4" s="64" t="s">
        <v>216</v>
      </c>
      <c r="D4" s="65" t="s">
        <v>5</v>
      </c>
      <c r="E4" s="66">
        <v>43922</v>
      </c>
      <c r="F4" s="64" t="s">
        <v>207</v>
      </c>
      <c r="G4" s="65"/>
      <c r="H4" s="66"/>
      <c r="I4" s="66"/>
      <c r="J4" s="66"/>
      <c r="K4" s="66">
        <v>43922</v>
      </c>
      <c r="L4" s="66" t="s">
        <v>210</v>
      </c>
      <c r="M4" s="65" t="s">
        <v>186</v>
      </c>
      <c r="N4" s="65"/>
      <c r="O4" s="65" t="s">
        <v>208</v>
      </c>
      <c r="P4" s="65"/>
      <c r="Q4" s="82" t="s">
        <v>217</v>
      </c>
      <c r="R4" s="59">
        <f t="shared" si="1"/>
        <v>0</v>
      </c>
    </row>
    <row r="5" spans="1:23" s="31" customFormat="1" ht="25.5" x14ac:dyDescent="0.25">
      <c r="A5" s="87" t="s">
        <v>40</v>
      </c>
      <c r="B5" s="59" t="str">
        <f t="shared" ca="1" si="0"/>
        <v>Completed</v>
      </c>
      <c r="C5" s="60" t="s">
        <v>218</v>
      </c>
      <c r="D5" s="67" t="s">
        <v>6</v>
      </c>
      <c r="E5" s="61">
        <v>43924</v>
      </c>
      <c r="F5" s="60" t="s">
        <v>219</v>
      </c>
      <c r="G5" s="67"/>
      <c r="H5" s="61"/>
      <c r="I5" s="61"/>
      <c r="J5" s="61"/>
      <c r="K5" s="61">
        <v>43924</v>
      </c>
      <c r="L5" s="61"/>
      <c r="M5" s="67" t="s">
        <v>186</v>
      </c>
      <c r="N5" s="67"/>
      <c r="O5" s="67"/>
      <c r="P5" s="67"/>
      <c r="Q5" s="83">
        <v>16422873</v>
      </c>
      <c r="R5" s="59">
        <f t="shared" si="1"/>
        <v>0</v>
      </c>
    </row>
    <row r="6" spans="1:23" s="32" customFormat="1" ht="89.25" x14ac:dyDescent="0.25">
      <c r="A6" s="88" t="s">
        <v>41</v>
      </c>
      <c r="B6" s="63" t="str">
        <f t="shared" ca="1" si="0"/>
        <v>Completed</v>
      </c>
      <c r="C6" s="64" t="s">
        <v>220</v>
      </c>
      <c r="D6" s="65" t="s">
        <v>14</v>
      </c>
      <c r="E6" s="66">
        <v>43927</v>
      </c>
      <c r="F6" s="64" t="s">
        <v>221</v>
      </c>
      <c r="G6" s="65"/>
      <c r="H6" s="66"/>
      <c r="I6" s="66"/>
      <c r="J6" s="66"/>
      <c r="K6" s="66">
        <v>43927</v>
      </c>
      <c r="L6" s="66"/>
      <c r="M6" s="65" t="s">
        <v>186</v>
      </c>
      <c r="N6" s="65"/>
      <c r="O6" s="65"/>
      <c r="P6" s="65" t="s">
        <v>230</v>
      </c>
      <c r="Q6" s="82" t="s">
        <v>269</v>
      </c>
      <c r="R6" s="59">
        <f t="shared" si="1"/>
        <v>0</v>
      </c>
    </row>
    <row r="7" spans="1:23" s="31" customFormat="1" ht="25.5" x14ac:dyDescent="0.25">
      <c r="A7" s="87" t="s">
        <v>42</v>
      </c>
      <c r="B7" s="59" t="str">
        <f t="shared" ca="1" si="0"/>
        <v>Completed</v>
      </c>
      <c r="C7" s="60" t="s">
        <v>222</v>
      </c>
      <c r="D7" s="67" t="s">
        <v>8</v>
      </c>
      <c r="E7" s="61">
        <v>43927</v>
      </c>
      <c r="F7" s="60" t="s">
        <v>223</v>
      </c>
      <c r="G7" s="67"/>
      <c r="H7" s="61"/>
      <c r="I7" s="61"/>
      <c r="J7" s="61"/>
      <c r="K7" s="61">
        <v>43930</v>
      </c>
      <c r="L7" s="67"/>
      <c r="M7" s="67" t="s">
        <v>211</v>
      </c>
      <c r="N7" s="67"/>
      <c r="O7" s="67"/>
      <c r="P7" s="67"/>
      <c r="Q7" s="83">
        <v>16433506</v>
      </c>
      <c r="R7" s="59">
        <f t="shared" si="1"/>
        <v>3</v>
      </c>
    </row>
    <row r="8" spans="1:23" s="32" customFormat="1" ht="51" x14ac:dyDescent="0.25">
      <c r="A8" s="88" t="s">
        <v>43</v>
      </c>
      <c r="B8" s="63" t="str">
        <f t="shared" ca="1" si="0"/>
        <v>Completed</v>
      </c>
      <c r="C8" s="64" t="s">
        <v>224</v>
      </c>
      <c r="D8" s="65" t="s">
        <v>7</v>
      </c>
      <c r="E8" s="66">
        <v>43927</v>
      </c>
      <c r="F8" s="64" t="s">
        <v>225</v>
      </c>
      <c r="G8" s="65"/>
      <c r="H8" s="66"/>
      <c r="I8" s="66"/>
      <c r="J8" s="66"/>
      <c r="K8" s="66">
        <v>43928</v>
      </c>
      <c r="L8" s="66"/>
      <c r="M8" s="65" t="s">
        <v>214</v>
      </c>
      <c r="N8" s="65"/>
      <c r="O8" s="65"/>
      <c r="P8" s="65" t="s">
        <v>231</v>
      </c>
      <c r="Q8" s="82" t="s">
        <v>226</v>
      </c>
      <c r="R8" s="59">
        <f t="shared" si="1"/>
        <v>1</v>
      </c>
    </row>
    <row r="9" spans="1:23" s="31" customFormat="1" ht="25.5" x14ac:dyDescent="0.25">
      <c r="A9" s="87" t="s">
        <v>44</v>
      </c>
      <c r="B9" s="59" t="str">
        <f t="shared" ca="1" si="0"/>
        <v>Completed</v>
      </c>
      <c r="C9" s="60" t="s">
        <v>227</v>
      </c>
      <c r="D9" s="67" t="s">
        <v>14</v>
      </c>
      <c r="E9" s="61">
        <v>43927</v>
      </c>
      <c r="F9" s="60" t="s">
        <v>228</v>
      </c>
      <c r="G9" s="67"/>
      <c r="H9" s="61"/>
      <c r="I9" s="61"/>
      <c r="J9" s="61"/>
      <c r="K9" s="61">
        <v>43927</v>
      </c>
      <c r="L9" s="67"/>
      <c r="M9" s="67" t="s">
        <v>211</v>
      </c>
      <c r="N9" s="67"/>
      <c r="O9" s="67"/>
      <c r="P9" s="67" t="s">
        <v>229</v>
      </c>
      <c r="Q9" s="83">
        <v>16427516</v>
      </c>
      <c r="R9" s="59">
        <f t="shared" si="1"/>
        <v>0</v>
      </c>
    </row>
    <row r="10" spans="1:23" s="32" customFormat="1" x14ac:dyDescent="0.25">
      <c r="A10" s="88" t="s">
        <v>45</v>
      </c>
      <c r="B10" s="63" t="str">
        <f t="shared" ca="1" si="0"/>
        <v>Completed</v>
      </c>
      <c r="C10" s="64" t="s">
        <v>215</v>
      </c>
      <c r="D10" s="65" t="s">
        <v>4</v>
      </c>
      <c r="E10" s="66">
        <v>43928</v>
      </c>
      <c r="F10" s="64" t="s">
        <v>232</v>
      </c>
      <c r="G10" s="65"/>
      <c r="H10" s="66"/>
      <c r="I10" s="66"/>
      <c r="J10" s="66"/>
      <c r="K10" s="66">
        <v>43928</v>
      </c>
      <c r="L10" s="65"/>
      <c r="M10" s="65" t="s">
        <v>214</v>
      </c>
      <c r="N10" s="65"/>
      <c r="O10" s="65"/>
      <c r="P10" s="65" t="s">
        <v>231</v>
      </c>
      <c r="Q10" s="82" t="s">
        <v>236</v>
      </c>
      <c r="R10" s="59">
        <f t="shared" si="1"/>
        <v>0</v>
      </c>
    </row>
    <row r="11" spans="1:23" s="31" customFormat="1" ht="25.5" x14ac:dyDescent="0.25">
      <c r="A11" s="87" t="s">
        <v>46</v>
      </c>
      <c r="B11" s="59" t="str">
        <f t="shared" ca="1" si="0"/>
        <v>Completed</v>
      </c>
      <c r="C11" s="60" t="s">
        <v>227</v>
      </c>
      <c r="D11" s="67" t="s">
        <v>14</v>
      </c>
      <c r="E11" s="61">
        <v>43929</v>
      </c>
      <c r="F11" s="60" t="s">
        <v>237</v>
      </c>
      <c r="G11" s="67"/>
      <c r="H11" s="61"/>
      <c r="I11" s="61"/>
      <c r="J11" s="61"/>
      <c r="K11" s="61">
        <v>43929</v>
      </c>
      <c r="L11" s="67"/>
      <c r="M11" s="67" t="s">
        <v>211</v>
      </c>
      <c r="N11" s="67"/>
      <c r="O11" s="67"/>
      <c r="P11" s="67" t="s">
        <v>229</v>
      </c>
      <c r="Q11" s="83" t="s">
        <v>238</v>
      </c>
      <c r="R11" s="59">
        <f t="shared" si="1"/>
        <v>0</v>
      </c>
    </row>
    <row r="12" spans="1:23" s="32" customFormat="1" ht="30" x14ac:dyDescent="0.25">
      <c r="A12" s="88" t="s">
        <v>47</v>
      </c>
      <c r="B12" s="63" t="str">
        <f t="shared" ca="1" si="0"/>
        <v>Completed</v>
      </c>
      <c r="C12" s="64" t="s">
        <v>263</v>
      </c>
      <c r="D12" s="65" t="s">
        <v>8</v>
      </c>
      <c r="E12" s="66">
        <v>43922</v>
      </c>
      <c r="F12" s="68" t="s">
        <v>255</v>
      </c>
      <c r="G12" s="65"/>
      <c r="H12" s="66"/>
      <c r="I12" s="66"/>
      <c r="J12" s="66"/>
      <c r="K12" s="66">
        <v>43928</v>
      </c>
      <c r="L12" s="66"/>
      <c r="M12" s="65" t="s">
        <v>212</v>
      </c>
      <c r="N12" s="65"/>
      <c r="O12" s="65" t="s">
        <v>256</v>
      </c>
      <c r="P12" s="65" t="s">
        <v>254</v>
      </c>
      <c r="Q12" s="82" t="s">
        <v>257</v>
      </c>
      <c r="R12" s="63">
        <f t="shared" si="1"/>
        <v>6</v>
      </c>
    </row>
    <row r="13" spans="1:23" s="31" customFormat="1" ht="25.5" x14ac:dyDescent="0.25">
      <c r="A13" s="87" t="s">
        <v>48</v>
      </c>
      <c r="B13" s="59" t="str">
        <f t="shared" ca="1" si="0"/>
        <v>Completed</v>
      </c>
      <c r="C13" s="60" t="s">
        <v>262</v>
      </c>
      <c r="D13" s="67" t="s">
        <v>7</v>
      </c>
      <c r="E13" s="61">
        <v>43931</v>
      </c>
      <c r="F13" s="60" t="s">
        <v>258</v>
      </c>
      <c r="G13" s="67"/>
      <c r="H13" s="61"/>
      <c r="I13" s="61"/>
      <c r="J13" s="61"/>
      <c r="K13" s="61">
        <v>43932</v>
      </c>
      <c r="L13" s="67"/>
      <c r="M13" s="67" t="s">
        <v>214</v>
      </c>
      <c r="N13" s="67"/>
      <c r="O13" s="67"/>
      <c r="P13" s="67"/>
      <c r="Q13" s="83" t="s">
        <v>259</v>
      </c>
      <c r="R13" s="59">
        <f t="shared" si="1"/>
        <v>1</v>
      </c>
    </row>
    <row r="14" spans="1:23" s="32" customFormat="1" ht="25.5" x14ac:dyDescent="0.25">
      <c r="A14" s="88" t="s">
        <v>49</v>
      </c>
      <c r="B14" s="63" t="str">
        <f t="shared" ca="1" si="0"/>
        <v>Completed</v>
      </c>
      <c r="C14" s="64" t="s">
        <v>264</v>
      </c>
      <c r="D14" s="65" t="s">
        <v>14</v>
      </c>
      <c r="E14" s="66">
        <v>43931</v>
      </c>
      <c r="F14" s="64" t="s">
        <v>260</v>
      </c>
      <c r="G14" s="65"/>
      <c r="H14" s="66"/>
      <c r="I14" s="66"/>
      <c r="J14" s="66"/>
      <c r="K14" s="66">
        <v>43906</v>
      </c>
      <c r="L14" s="65"/>
      <c r="M14" s="65" t="s">
        <v>186</v>
      </c>
      <c r="N14" s="65"/>
      <c r="O14" s="65"/>
      <c r="P14" s="65"/>
      <c r="Q14" s="82" t="s">
        <v>261</v>
      </c>
      <c r="R14" s="63">
        <f t="shared" si="1"/>
        <v>0</v>
      </c>
    </row>
    <row r="15" spans="1:23" s="31" customFormat="1" x14ac:dyDescent="0.25">
      <c r="A15" s="87" t="s">
        <v>50</v>
      </c>
      <c r="B15" s="59" t="s">
        <v>267</v>
      </c>
      <c r="C15" s="60" t="s">
        <v>265</v>
      </c>
      <c r="D15" s="67" t="s">
        <v>5</v>
      </c>
      <c r="E15" s="61">
        <v>43930</v>
      </c>
      <c r="F15" s="60" t="s">
        <v>266</v>
      </c>
      <c r="G15" s="67"/>
      <c r="H15" s="61"/>
      <c r="I15" s="61"/>
      <c r="J15" s="61"/>
      <c r="K15" s="67"/>
      <c r="L15" s="67"/>
      <c r="M15" s="67" t="s">
        <v>186</v>
      </c>
      <c r="N15" s="67"/>
      <c r="O15" s="67"/>
      <c r="P15" s="67"/>
      <c r="Q15" s="83" t="s">
        <v>268</v>
      </c>
      <c r="R15" s="59">
        <f t="shared" si="1"/>
        <v>0</v>
      </c>
    </row>
    <row r="16" spans="1:23" s="32" customFormat="1" ht="25.5" x14ac:dyDescent="0.25">
      <c r="A16" s="88" t="s">
        <v>51</v>
      </c>
      <c r="B16" s="63" t="s">
        <v>267</v>
      </c>
      <c r="C16" s="64" t="s">
        <v>273</v>
      </c>
      <c r="D16" s="65" t="s">
        <v>5</v>
      </c>
      <c r="E16" s="66">
        <v>43941</v>
      </c>
      <c r="F16" s="64" t="s">
        <v>270</v>
      </c>
      <c r="G16" s="65"/>
      <c r="H16" s="66"/>
      <c r="I16" s="66"/>
      <c r="J16" s="66"/>
      <c r="K16" s="66">
        <v>43941</v>
      </c>
      <c r="L16" s="66"/>
      <c r="M16" s="65" t="s">
        <v>211</v>
      </c>
      <c r="N16" s="65"/>
      <c r="O16" s="65"/>
      <c r="P16" s="65" t="s">
        <v>271</v>
      </c>
      <c r="Q16" s="82" t="s">
        <v>272</v>
      </c>
      <c r="R16" s="63">
        <f t="shared" si="1"/>
        <v>0</v>
      </c>
    </row>
    <row r="17" spans="1:18" s="31" customFormat="1" x14ac:dyDescent="0.25">
      <c r="A17" s="87" t="s">
        <v>52</v>
      </c>
      <c r="B17" s="59" t="s">
        <v>267</v>
      </c>
      <c r="C17" s="60" t="s">
        <v>274</v>
      </c>
      <c r="D17" s="67" t="s">
        <v>4</v>
      </c>
      <c r="E17" s="61">
        <v>43945</v>
      </c>
      <c r="F17" s="60" t="s">
        <v>275</v>
      </c>
      <c r="G17" s="67"/>
      <c r="H17" s="61"/>
      <c r="I17" s="61"/>
      <c r="J17" s="61"/>
      <c r="K17" s="61">
        <v>43945</v>
      </c>
      <c r="L17" s="67"/>
      <c r="M17" s="67" t="s">
        <v>211</v>
      </c>
      <c r="N17" s="67"/>
      <c r="O17" s="67" t="s">
        <v>276</v>
      </c>
      <c r="P17" s="67"/>
      <c r="Q17" s="83">
        <v>16468714</v>
      </c>
      <c r="R17" s="59">
        <f t="shared" si="1"/>
        <v>0</v>
      </c>
    </row>
    <row r="18" spans="1:18" s="32" customFormat="1" x14ac:dyDescent="0.25">
      <c r="A18" s="88" t="s">
        <v>53</v>
      </c>
      <c r="B18" s="63" t="s">
        <v>267</v>
      </c>
      <c r="C18" s="64" t="s">
        <v>279</v>
      </c>
      <c r="D18" s="65" t="s">
        <v>5</v>
      </c>
      <c r="E18" s="66">
        <v>43951</v>
      </c>
      <c r="F18" s="64" t="s">
        <v>277</v>
      </c>
      <c r="G18" s="65"/>
      <c r="H18" s="66"/>
      <c r="I18" s="66"/>
      <c r="J18" s="66"/>
      <c r="K18" s="66">
        <v>43951</v>
      </c>
      <c r="L18" s="65"/>
      <c r="M18" s="65" t="s">
        <v>186</v>
      </c>
      <c r="N18" s="65"/>
      <c r="O18" s="65"/>
      <c r="P18" s="65"/>
      <c r="Q18" s="82" t="s">
        <v>283</v>
      </c>
      <c r="R18" s="63">
        <f t="shared" si="1"/>
        <v>0</v>
      </c>
    </row>
    <row r="19" spans="1:18" s="31" customFormat="1" x14ac:dyDescent="0.25">
      <c r="A19" s="87" t="s">
        <v>54</v>
      </c>
      <c r="B19" s="59" t="s">
        <v>267</v>
      </c>
      <c r="C19" s="60" t="s">
        <v>278</v>
      </c>
      <c r="D19" s="67" t="s">
        <v>7</v>
      </c>
      <c r="E19" s="61">
        <v>43944</v>
      </c>
      <c r="F19" s="60" t="s">
        <v>280</v>
      </c>
      <c r="G19" s="67"/>
      <c r="H19" s="61"/>
      <c r="I19" s="61"/>
      <c r="J19" s="61"/>
      <c r="K19" s="61">
        <v>43951</v>
      </c>
      <c r="L19" s="67"/>
      <c r="M19" s="67" t="s">
        <v>186</v>
      </c>
      <c r="N19" s="67"/>
      <c r="O19" s="67"/>
      <c r="P19" s="67"/>
      <c r="Q19" s="83" t="s">
        <v>284</v>
      </c>
      <c r="R19" s="59">
        <f t="shared" si="1"/>
        <v>7</v>
      </c>
    </row>
    <row r="20" spans="1:18" s="32" customFormat="1" x14ac:dyDescent="0.25">
      <c r="A20" s="88" t="s">
        <v>55</v>
      </c>
      <c r="B20" s="63" t="s">
        <v>267</v>
      </c>
      <c r="C20" s="64" t="s">
        <v>281</v>
      </c>
      <c r="D20" s="65"/>
      <c r="E20" s="66">
        <v>43951</v>
      </c>
      <c r="F20" s="64" t="s">
        <v>282</v>
      </c>
      <c r="G20" s="65"/>
      <c r="H20" s="66"/>
      <c r="I20" s="66"/>
      <c r="J20" s="66"/>
      <c r="K20" s="66">
        <v>43951</v>
      </c>
      <c r="L20" s="66"/>
      <c r="M20" s="65" t="s">
        <v>211</v>
      </c>
      <c r="N20" s="65"/>
      <c r="O20" s="65"/>
      <c r="P20" s="65"/>
      <c r="Q20" s="82" t="s">
        <v>285</v>
      </c>
      <c r="R20" s="63">
        <f t="shared" si="1"/>
        <v>0</v>
      </c>
    </row>
    <row r="21" spans="1:18" s="31" customFormat="1" x14ac:dyDescent="0.25">
      <c r="A21" s="87" t="s">
        <v>56</v>
      </c>
      <c r="B21" s="59" t="s">
        <v>267</v>
      </c>
      <c r="C21" s="60" t="s">
        <v>286</v>
      </c>
      <c r="D21" s="67" t="s">
        <v>5</v>
      </c>
      <c r="E21" s="61">
        <v>43950</v>
      </c>
      <c r="F21" s="60" t="s">
        <v>287</v>
      </c>
      <c r="G21" s="67"/>
      <c r="H21" s="61"/>
      <c r="I21" s="61"/>
      <c r="J21" s="61"/>
      <c r="K21" s="61">
        <v>43951</v>
      </c>
      <c r="L21" s="67"/>
      <c r="M21" s="67" t="s">
        <v>186</v>
      </c>
      <c r="N21" s="67"/>
      <c r="O21" s="67"/>
      <c r="P21" s="67"/>
      <c r="Q21" s="83" t="s">
        <v>288</v>
      </c>
      <c r="R21" s="59">
        <f t="shared" si="1"/>
        <v>1</v>
      </c>
    </row>
    <row r="22" spans="1:18" s="32" customFormat="1" ht="25.5" x14ac:dyDescent="0.25">
      <c r="A22" s="88" t="s">
        <v>57</v>
      </c>
      <c r="B22" s="63" t="str">
        <f t="shared" ca="1" si="0"/>
        <v>Completed</v>
      </c>
      <c r="C22" s="64" t="s">
        <v>289</v>
      </c>
      <c r="D22" s="65" t="s">
        <v>6</v>
      </c>
      <c r="E22" s="66">
        <v>43950</v>
      </c>
      <c r="F22" s="64" t="s">
        <v>290</v>
      </c>
      <c r="G22" s="65"/>
      <c r="H22" s="66"/>
      <c r="I22" s="66"/>
      <c r="J22" s="66"/>
      <c r="K22" s="66">
        <v>43952</v>
      </c>
      <c r="L22" s="65" t="s">
        <v>210</v>
      </c>
      <c r="M22" s="65" t="s">
        <v>214</v>
      </c>
      <c r="N22" s="65"/>
      <c r="O22" s="65" t="s">
        <v>291</v>
      </c>
      <c r="P22" s="65"/>
      <c r="Q22" s="82" t="s">
        <v>292</v>
      </c>
      <c r="R22" s="63">
        <f t="shared" si="1"/>
        <v>2</v>
      </c>
    </row>
    <row r="23" spans="1:18" s="31" customFormat="1" x14ac:dyDescent="0.25">
      <c r="A23" s="87" t="s">
        <v>58</v>
      </c>
      <c r="B23" s="59" t="s">
        <v>267</v>
      </c>
      <c r="C23" s="60" t="s">
        <v>273</v>
      </c>
      <c r="D23" s="67" t="s">
        <v>14</v>
      </c>
      <c r="E23" s="61">
        <v>43956</v>
      </c>
      <c r="F23" s="60" t="s">
        <v>293</v>
      </c>
      <c r="G23" s="67"/>
      <c r="H23" s="61"/>
      <c r="I23" s="61"/>
      <c r="J23" s="61"/>
      <c r="K23" s="67"/>
      <c r="L23" s="67"/>
      <c r="M23" s="67" t="s">
        <v>211</v>
      </c>
      <c r="N23" s="67"/>
      <c r="O23" s="67"/>
      <c r="P23" s="67" t="s">
        <v>294</v>
      </c>
      <c r="Q23" s="83" t="s">
        <v>295</v>
      </c>
      <c r="R23" s="59">
        <f t="shared" si="1"/>
        <v>0</v>
      </c>
    </row>
    <row r="24" spans="1:18" s="32" customFormat="1" x14ac:dyDescent="0.25">
      <c r="A24" s="88" t="s">
        <v>59</v>
      </c>
      <c r="B24" s="63" t="str">
        <f t="shared" ca="1" si="0"/>
        <v>Completed</v>
      </c>
      <c r="C24" s="64" t="s">
        <v>286</v>
      </c>
      <c r="D24" s="65" t="s">
        <v>5</v>
      </c>
      <c r="E24" s="66">
        <v>43955</v>
      </c>
      <c r="F24" s="64" t="s">
        <v>296</v>
      </c>
      <c r="G24" s="65"/>
      <c r="H24" s="66"/>
      <c r="I24" s="66"/>
      <c r="J24" s="66"/>
      <c r="K24" s="66">
        <v>43956</v>
      </c>
      <c r="L24" s="66"/>
      <c r="M24" s="65" t="s">
        <v>186</v>
      </c>
      <c r="N24" s="65"/>
      <c r="O24" s="65" t="s">
        <v>208</v>
      </c>
      <c r="P24" s="65"/>
      <c r="Q24" s="82" t="s">
        <v>297</v>
      </c>
      <c r="R24" s="63">
        <f t="shared" si="1"/>
        <v>1</v>
      </c>
    </row>
    <row r="25" spans="1:18" s="31" customFormat="1" x14ac:dyDescent="0.25">
      <c r="A25" s="87" t="s">
        <v>60</v>
      </c>
      <c r="B25" s="59" t="str">
        <f t="shared" ca="1" si="0"/>
        <v>Completed</v>
      </c>
      <c r="C25" s="60" t="s">
        <v>298</v>
      </c>
      <c r="D25" s="67" t="s">
        <v>14</v>
      </c>
      <c r="E25" s="61">
        <v>43958</v>
      </c>
      <c r="F25" s="60" t="s">
        <v>299</v>
      </c>
      <c r="G25" s="67"/>
      <c r="H25" s="61"/>
      <c r="I25" s="61"/>
      <c r="J25" s="61"/>
      <c r="K25" s="61">
        <v>43959</v>
      </c>
      <c r="L25" s="67"/>
      <c r="M25" s="67" t="s">
        <v>186</v>
      </c>
      <c r="N25" s="67"/>
      <c r="O25" s="67"/>
      <c r="P25" s="67"/>
      <c r="Q25" s="83" t="s">
        <v>300</v>
      </c>
      <c r="R25" s="59">
        <f t="shared" si="1"/>
        <v>1</v>
      </c>
    </row>
    <row r="26" spans="1:18" s="32" customFormat="1" ht="102" x14ac:dyDescent="0.25">
      <c r="A26" s="88" t="s">
        <v>61</v>
      </c>
      <c r="B26" s="65" t="str">
        <f t="shared" ca="1" si="0"/>
        <v>Completed</v>
      </c>
      <c r="C26" s="64" t="s">
        <v>301</v>
      </c>
      <c r="D26" s="65" t="s">
        <v>14</v>
      </c>
      <c r="E26" s="66">
        <v>43963</v>
      </c>
      <c r="F26" s="64" t="s">
        <v>302</v>
      </c>
      <c r="G26" s="65"/>
      <c r="H26" s="66"/>
      <c r="I26" s="66"/>
      <c r="J26" s="66"/>
      <c r="K26" s="66">
        <v>43963</v>
      </c>
      <c r="L26" s="65"/>
      <c r="M26" s="65" t="s">
        <v>211</v>
      </c>
      <c r="N26" s="65"/>
      <c r="O26" s="65"/>
      <c r="P26" s="65"/>
      <c r="Q26" s="82" t="s">
        <v>303</v>
      </c>
      <c r="R26" s="63">
        <f t="shared" si="1"/>
        <v>0</v>
      </c>
    </row>
    <row r="27" spans="1:18" s="31" customFormat="1" x14ac:dyDescent="0.25">
      <c r="A27" s="87" t="s">
        <v>62</v>
      </c>
      <c r="B27" s="60" t="str">
        <f t="shared" ca="1" si="0"/>
        <v>Completed</v>
      </c>
      <c r="C27" s="60" t="s">
        <v>304</v>
      </c>
      <c r="D27" s="67" t="s">
        <v>8</v>
      </c>
      <c r="E27" s="61">
        <v>43959</v>
      </c>
      <c r="F27" s="60" t="s">
        <v>305</v>
      </c>
      <c r="G27" s="67"/>
      <c r="H27" s="61"/>
      <c r="I27" s="61"/>
      <c r="J27" s="61"/>
      <c r="K27" s="61">
        <v>43964</v>
      </c>
      <c r="L27" s="67"/>
      <c r="M27" s="67" t="s">
        <v>186</v>
      </c>
      <c r="N27" s="67"/>
      <c r="O27" s="67" t="s">
        <v>306</v>
      </c>
      <c r="P27" s="67"/>
      <c r="Q27" s="83" t="s">
        <v>307</v>
      </c>
      <c r="R27" s="59">
        <f t="shared" si="1"/>
        <v>5</v>
      </c>
    </row>
    <row r="28" spans="1:18" s="32" customFormat="1" ht="38.25" x14ac:dyDescent="0.25">
      <c r="A28" s="88" t="s">
        <v>63</v>
      </c>
      <c r="B28" s="65" t="str">
        <f t="shared" ca="1" si="0"/>
        <v>Completed</v>
      </c>
      <c r="C28" s="64" t="s">
        <v>312</v>
      </c>
      <c r="D28" s="65" t="s">
        <v>9</v>
      </c>
      <c r="E28" s="66">
        <v>43964</v>
      </c>
      <c r="F28" s="64" t="s">
        <v>311</v>
      </c>
      <c r="G28" s="65"/>
      <c r="H28" s="66"/>
      <c r="I28" s="66"/>
      <c r="J28" s="66"/>
      <c r="K28" s="66">
        <v>43973</v>
      </c>
      <c r="L28" s="66"/>
      <c r="M28" s="65" t="s">
        <v>186</v>
      </c>
      <c r="N28" s="65"/>
      <c r="O28" s="65"/>
      <c r="P28" s="65"/>
      <c r="Q28" s="82" t="s">
        <v>336</v>
      </c>
      <c r="R28" s="63">
        <f t="shared" si="1"/>
        <v>9</v>
      </c>
    </row>
    <row r="29" spans="1:18" s="31" customFormat="1" x14ac:dyDescent="0.25">
      <c r="A29" s="87" t="s">
        <v>64</v>
      </c>
      <c r="B29" s="67" t="str">
        <f t="shared" ca="1" si="0"/>
        <v>Completed</v>
      </c>
      <c r="C29" s="60" t="s">
        <v>313</v>
      </c>
      <c r="D29" s="67" t="s">
        <v>14</v>
      </c>
      <c r="E29" s="61">
        <v>43966</v>
      </c>
      <c r="F29" s="60" t="s">
        <v>314</v>
      </c>
      <c r="G29" s="67"/>
      <c r="H29" s="61"/>
      <c r="I29" s="61"/>
      <c r="J29" s="61"/>
      <c r="K29" s="61">
        <v>43966</v>
      </c>
      <c r="L29" s="67"/>
      <c r="M29" s="67" t="s">
        <v>211</v>
      </c>
      <c r="N29" s="67"/>
      <c r="O29" s="67"/>
      <c r="P29" s="67"/>
      <c r="Q29" s="83" t="s">
        <v>315</v>
      </c>
      <c r="R29" s="59">
        <f t="shared" si="1"/>
        <v>0</v>
      </c>
    </row>
    <row r="30" spans="1:18" s="32" customFormat="1" ht="25.5" x14ac:dyDescent="0.25">
      <c r="A30" s="88" t="s">
        <v>65</v>
      </c>
      <c r="B30" s="65" t="str">
        <f t="shared" ca="1" si="0"/>
        <v>Completed</v>
      </c>
      <c r="C30" s="64" t="s">
        <v>319</v>
      </c>
      <c r="D30" s="65" t="s">
        <v>6</v>
      </c>
      <c r="E30" s="66">
        <v>43972</v>
      </c>
      <c r="F30" s="64" t="s">
        <v>320</v>
      </c>
      <c r="G30" s="65"/>
      <c r="H30" s="66"/>
      <c r="I30" s="66"/>
      <c r="J30" s="66"/>
      <c r="K30" s="66">
        <v>43972</v>
      </c>
      <c r="L30" s="65"/>
      <c r="M30" s="65" t="s">
        <v>186</v>
      </c>
      <c r="N30" s="65"/>
      <c r="O30" s="65"/>
      <c r="P30" s="65"/>
      <c r="Q30" s="82" t="s">
        <v>322</v>
      </c>
      <c r="R30" s="63">
        <f t="shared" si="1"/>
        <v>0</v>
      </c>
    </row>
    <row r="31" spans="1:18" s="31" customFormat="1" x14ac:dyDescent="0.25">
      <c r="A31" s="87" t="s">
        <v>66</v>
      </c>
      <c r="B31" s="60" t="str">
        <f t="shared" ca="1" si="0"/>
        <v>Completed</v>
      </c>
      <c r="C31" s="60" t="s">
        <v>323</v>
      </c>
      <c r="D31" s="67" t="s">
        <v>5</v>
      </c>
      <c r="E31" s="61">
        <v>43972</v>
      </c>
      <c r="F31" s="60" t="s">
        <v>324</v>
      </c>
      <c r="G31" s="67"/>
      <c r="H31" s="61"/>
      <c r="I31" s="61"/>
      <c r="J31" s="61"/>
      <c r="K31" s="61">
        <v>43973</v>
      </c>
      <c r="L31" s="67"/>
      <c r="M31" s="67" t="s">
        <v>186</v>
      </c>
      <c r="N31" s="67">
        <v>1.4</v>
      </c>
      <c r="O31" s="67" t="s">
        <v>325</v>
      </c>
      <c r="P31" s="67"/>
      <c r="Q31" s="83" t="s">
        <v>326</v>
      </c>
      <c r="R31" s="59">
        <f t="shared" si="1"/>
        <v>1</v>
      </c>
    </row>
    <row r="32" spans="1:18" s="32" customFormat="1" ht="25.5" x14ac:dyDescent="0.25">
      <c r="A32" s="88" t="s">
        <v>67</v>
      </c>
      <c r="B32" s="65" t="str">
        <f t="shared" ca="1" si="0"/>
        <v>Completed</v>
      </c>
      <c r="C32" s="64" t="s">
        <v>327</v>
      </c>
      <c r="D32" s="65" t="s">
        <v>6</v>
      </c>
      <c r="E32" s="66">
        <v>43972</v>
      </c>
      <c r="F32" s="64" t="s">
        <v>328</v>
      </c>
      <c r="G32" s="65"/>
      <c r="H32" s="66"/>
      <c r="I32" s="66"/>
      <c r="J32" s="66"/>
      <c r="K32" s="66">
        <v>43973</v>
      </c>
      <c r="L32" s="66"/>
      <c r="M32" s="65" t="s">
        <v>211</v>
      </c>
      <c r="N32" s="65"/>
      <c r="O32" s="65"/>
      <c r="P32" s="65"/>
      <c r="Q32" s="82" t="s">
        <v>329</v>
      </c>
      <c r="R32" s="63">
        <f t="shared" si="1"/>
        <v>1</v>
      </c>
    </row>
    <row r="33" spans="1:18" s="31" customFormat="1" ht="25.5" x14ac:dyDescent="0.25">
      <c r="A33" s="87" t="s">
        <v>68</v>
      </c>
      <c r="B33" s="67" t="str">
        <f t="shared" ca="1" si="0"/>
        <v>Completed</v>
      </c>
      <c r="C33" s="60" t="s">
        <v>330</v>
      </c>
      <c r="D33" s="67" t="s">
        <v>14</v>
      </c>
      <c r="E33" s="61">
        <v>43970</v>
      </c>
      <c r="F33" s="60" t="s">
        <v>331</v>
      </c>
      <c r="G33" s="67"/>
      <c r="H33" s="61"/>
      <c r="I33" s="61"/>
      <c r="J33" s="61"/>
      <c r="K33" s="61">
        <v>43971</v>
      </c>
      <c r="L33" s="67"/>
      <c r="M33" s="67" t="s">
        <v>211</v>
      </c>
      <c r="N33" s="67"/>
      <c r="O33" s="67"/>
      <c r="P33" s="67"/>
      <c r="Q33" s="83" t="s">
        <v>332</v>
      </c>
      <c r="R33" s="59">
        <f t="shared" si="1"/>
        <v>1</v>
      </c>
    </row>
    <row r="34" spans="1:18" s="32" customFormat="1" x14ac:dyDescent="0.25">
      <c r="A34" s="88" t="s">
        <v>69</v>
      </c>
      <c r="B34" s="65" t="str">
        <f t="shared" ca="1" si="0"/>
        <v>Completed</v>
      </c>
      <c r="C34" s="64" t="s">
        <v>334</v>
      </c>
      <c r="D34" s="65" t="s">
        <v>14</v>
      </c>
      <c r="E34" s="66">
        <v>43973</v>
      </c>
      <c r="F34" s="64" t="s">
        <v>335</v>
      </c>
      <c r="G34" s="65"/>
      <c r="H34" s="66"/>
      <c r="I34" s="66"/>
      <c r="J34" s="66"/>
      <c r="K34" s="66">
        <v>43973</v>
      </c>
      <c r="L34" s="65"/>
      <c r="M34" s="65" t="s">
        <v>186</v>
      </c>
      <c r="N34" s="65"/>
      <c r="O34" s="65"/>
      <c r="P34" s="65"/>
      <c r="Q34" s="82" t="s">
        <v>333</v>
      </c>
      <c r="R34" s="63">
        <f t="shared" si="1"/>
        <v>0</v>
      </c>
    </row>
    <row r="35" spans="1:18" s="31" customFormat="1" x14ac:dyDescent="0.25">
      <c r="A35" s="87" t="s">
        <v>70</v>
      </c>
      <c r="B35" s="60" t="str">
        <f t="shared" ca="1" si="0"/>
        <v>Completed</v>
      </c>
      <c r="C35" s="60" t="s">
        <v>334</v>
      </c>
      <c r="D35" s="67" t="s">
        <v>14</v>
      </c>
      <c r="E35" s="61">
        <v>43973</v>
      </c>
      <c r="F35" s="60" t="s">
        <v>337</v>
      </c>
      <c r="G35" s="67"/>
      <c r="H35" s="61"/>
      <c r="I35" s="61"/>
      <c r="J35" s="61"/>
      <c r="K35" s="61">
        <v>43973</v>
      </c>
      <c r="L35" s="67"/>
      <c r="M35" s="67" t="s">
        <v>186</v>
      </c>
      <c r="N35" s="67"/>
      <c r="O35" s="67"/>
      <c r="P35" s="67"/>
      <c r="Q35" s="83" t="s">
        <v>338</v>
      </c>
      <c r="R35" s="59">
        <f t="shared" ref="R35:R66" si="2">IF(K35-E35&gt;0,K35-E35,0)</f>
        <v>0</v>
      </c>
    </row>
    <row r="36" spans="1:18" s="32" customFormat="1" ht="76.5" x14ac:dyDescent="0.25">
      <c r="A36" s="88" t="s">
        <v>71</v>
      </c>
      <c r="B36" s="65" t="str">
        <f t="shared" ca="1" si="0"/>
        <v>Completed</v>
      </c>
      <c r="C36" s="64" t="s">
        <v>339</v>
      </c>
      <c r="D36" s="65" t="s">
        <v>6</v>
      </c>
      <c r="E36" s="66">
        <v>43973</v>
      </c>
      <c r="F36" s="64" t="s">
        <v>340</v>
      </c>
      <c r="G36" s="65"/>
      <c r="H36" s="66"/>
      <c r="I36" s="66"/>
      <c r="J36" s="66"/>
      <c r="K36" s="66">
        <v>43991</v>
      </c>
      <c r="L36" s="66"/>
      <c r="M36" s="65" t="s">
        <v>186</v>
      </c>
      <c r="N36" s="65"/>
      <c r="O36" s="65"/>
      <c r="P36" s="65"/>
      <c r="Q36" s="82" t="s">
        <v>381</v>
      </c>
      <c r="R36" s="63">
        <f t="shared" si="2"/>
        <v>18</v>
      </c>
    </row>
    <row r="37" spans="1:18" s="31" customFormat="1" ht="38.25" x14ac:dyDescent="0.25">
      <c r="A37" s="87" t="s">
        <v>72</v>
      </c>
      <c r="B37" s="67" t="str">
        <f t="shared" ca="1" si="0"/>
        <v>Completed</v>
      </c>
      <c r="C37" s="60" t="s">
        <v>319</v>
      </c>
      <c r="D37" s="67" t="s">
        <v>6</v>
      </c>
      <c r="E37" s="61">
        <v>43973</v>
      </c>
      <c r="F37" s="60" t="s">
        <v>341</v>
      </c>
      <c r="G37" s="67"/>
      <c r="H37" s="61"/>
      <c r="I37" s="61"/>
      <c r="J37" s="61"/>
      <c r="K37" s="61">
        <v>43986</v>
      </c>
      <c r="L37" s="67"/>
      <c r="M37" s="67" t="s">
        <v>15</v>
      </c>
      <c r="N37" s="67"/>
      <c r="O37" s="67"/>
      <c r="P37" s="67"/>
      <c r="Q37" s="83" t="s">
        <v>427</v>
      </c>
      <c r="R37" s="59">
        <f t="shared" si="2"/>
        <v>13</v>
      </c>
    </row>
    <row r="38" spans="1:18" s="32" customFormat="1" x14ac:dyDescent="0.25">
      <c r="A38" s="88" t="s">
        <v>73</v>
      </c>
      <c r="B38" s="65" t="str">
        <f t="shared" ca="1" si="0"/>
        <v>Completed</v>
      </c>
      <c r="C38" s="64" t="s">
        <v>301</v>
      </c>
      <c r="D38" s="65" t="s">
        <v>14</v>
      </c>
      <c r="E38" s="66">
        <v>43976</v>
      </c>
      <c r="F38" s="64" t="s">
        <v>342</v>
      </c>
      <c r="G38" s="65"/>
      <c r="H38" s="66"/>
      <c r="I38" s="66"/>
      <c r="J38" s="66"/>
      <c r="K38" s="66">
        <v>43976</v>
      </c>
      <c r="L38" s="65"/>
      <c r="M38" s="65" t="s">
        <v>211</v>
      </c>
      <c r="N38" s="65"/>
      <c r="O38" s="65"/>
      <c r="P38" s="65"/>
      <c r="Q38" s="82" t="s">
        <v>366</v>
      </c>
      <c r="R38" s="63">
        <f t="shared" si="2"/>
        <v>0</v>
      </c>
    </row>
    <row r="39" spans="1:18" s="31" customFormat="1" ht="38.25" x14ac:dyDescent="0.25">
      <c r="A39" s="87" t="s">
        <v>74</v>
      </c>
      <c r="B39" s="60" t="str">
        <f t="shared" ca="1" si="0"/>
        <v>Completed</v>
      </c>
      <c r="C39" s="60" t="s">
        <v>319</v>
      </c>
      <c r="D39" s="67" t="s">
        <v>6</v>
      </c>
      <c r="E39" s="61">
        <v>43973</v>
      </c>
      <c r="F39" s="60" t="s">
        <v>343</v>
      </c>
      <c r="G39" s="67"/>
      <c r="H39" s="61"/>
      <c r="I39" s="61"/>
      <c r="J39" s="61"/>
      <c r="K39" s="61">
        <v>43977</v>
      </c>
      <c r="L39" s="67"/>
      <c r="M39" s="67" t="s">
        <v>186</v>
      </c>
      <c r="N39" s="67"/>
      <c r="O39" s="67"/>
      <c r="P39" s="67"/>
      <c r="Q39" s="83" t="s">
        <v>359</v>
      </c>
      <c r="R39" s="59">
        <f t="shared" si="2"/>
        <v>4</v>
      </c>
    </row>
    <row r="40" spans="1:18" s="32" customFormat="1" ht="25.5" x14ac:dyDescent="0.25">
      <c r="A40" s="88" t="s">
        <v>75</v>
      </c>
      <c r="B40" s="65" t="str">
        <f t="shared" ca="1" si="0"/>
        <v>Completed</v>
      </c>
      <c r="C40" s="64" t="s">
        <v>304</v>
      </c>
      <c r="D40" s="65" t="s">
        <v>8</v>
      </c>
      <c r="E40" s="66">
        <v>43977</v>
      </c>
      <c r="F40" s="64" t="s">
        <v>345</v>
      </c>
      <c r="G40" s="65"/>
      <c r="H40" s="66"/>
      <c r="I40" s="66"/>
      <c r="J40" s="66"/>
      <c r="K40" s="66">
        <v>43977</v>
      </c>
      <c r="L40" s="66"/>
      <c r="M40" s="65" t="s">
        <v>211</v>
      </c>
      <c r="N40" s="65"/>
      <c r="O40" s="65"/>
      <c r="P40" s="65"/>
      <c r="Q40" s="82" t="s">
        <v>344</v>
      </c>
      <c r="R40" s="63">
        <f t="shared" si="2"/>
        <v>0</v>
      </c>
    </row>
    <row r="41" spans="1:18" s="31" customFormat="1" ht="25.5" x14ac:dyDescent="0.25">
      <c r="A41" s="87" t="s">
        <v>76</v>
      </c>
      <c r="B41" s="67" t="str">
        <f t="shared" ca="1" si="0"/>
        <v>Completed</v>
      </c>
      <c r="C41" s="60" t="s">
        <v>278</v>
      </c>
      <c r="D41" s="67" t="s">
        <v>7</v>
      </c>
      <c r="E41" s="61">
        <v>43979</v>
      </c>
      <c r="F41" s="60" t="s">
        <v>346</v>
      </c>
      <c r="G41" s="67"/>
      <c r="H41" s="61"/>
      <c r="I41" s="61"/>
      <c r="J41" s="61"/>
      <c r="K41" s="61">
        <v>43979</v>
      </c>
      <c r="L41" s="67"/>
      <c r="M41" s="67" t="s">
        <v>214</v>
      </c>
      <c r="N41" s="67"/>
      <c r="O41" s="67"/>
      <c r="P41" s="67"/>
      <c r="Q41" s="83" t="s">
        <v>349</v>
      </c>
      <c r="R41" s="59">
        <f t="shared" si="2"/>
        <v>0</v>
      </c>
    </row>
    <row r="42" spans="1:18" s="32" customFormat="1" ht="51" x14ac:dyDescent="0.25">
      <c r="A42" s="88" t="s">
        <v>77</v>
      </c>
      <c r="B42" s="65" t="str">
        <f t="shared" ca="1" si="0"/>
        <v>Completed</v>
      </c>
      <c r="C42" s="64" t="s">
        <v>347</v>
      </c>
      <c r="D42" s="65" t="s">
        <v>14</v>
      </c>
      <c r="E42" s="66">
        <v>43977</v>
      </c>
      <c r="F42" s="64" t="s">
        <v>348</v>
      </c>
      <c r="G42" s="65"/>
      <c r="H42" s="66"/>
      <c r="I42" s="66"/>
      <c r="J42" s="66"/>
      <c r="K42" s="66">
        <v>43978</v>
      </c>
      <c r="L42" s="65"/>
      <c r="M42" s="65" t="s">
        <v>211</v>
      </c>
      <c r="N42" s="65"/>
      <c r="O42" s="65"/>
      <c r="P42" s="65"/>
      <c r="Q42" s="82" t="s">
        <v>358</v>
      </c>
      <c r="R42" s="63">
        <f t="shared" si="2"/>
        <v>1</v>
      </c>
    </row>
    <row r="43" spans="1:18" s="31" customFormat="1" x14ac:dyDescent="0.25">
      <c r="A43" s="87" t="s">
        <v>78</v>
      </c>
      <c r="B43" s="60" t="str">
        <f t="shared" ca="1" si="0"/>
        <v>Completed</v>
      </c>
      <c r="C43" s="60" t="s">
        <v>355</v>
      </c>
      <c r="D43" s="67"/>
      <c r="E43" s="61">
        <v>43980</v>
      </c>
      <c r="F43" s="60" t="s">
        <v>356</v>
      </c>
      <c r="G43" s="67"/>
      <c r="H43" s="61"/>
      <c r="I43" s="61"/>
      <c r="J43" s="61"/>
      <c r="K43" s="61">
        <v>43980</v>
      </c>
      <c r="L43" s="67" t="s">
        <v>18</v>
      </c>
      <c r="M43" s="67" t="s">
        <v>214</v>
      </c>
      <c r="N43" s="67"/>
      <c r="O43" s="67"/>
      <c r="P43" s="67"/>
      <c r="Q43" s="83" t="s">
        <v>357</v>
      </c>
      <c r="R43" s="59">
        <f t="shared" si="2"/>
        <v>0</v>
      </c>
    </row>
    <row r="44" spans="1:18" s="32" customFormat="1" ht="76.5" x14ac:dyDescent="0.25">
      <c r="A44" s="88" t="s">
        <v>79</v>
      </c>
      <c r="B44" s="65" t="str">
        <f t="shared" ca="1" si="0"/>
        <v>Completed</v>
      </c>
      <c r="C44" s="69" t="s">
        <v>360</v>
      </c>
      <c r="D44" s="65" t="s">
        <v>7</v>
      </c>
      <c r="E44" s="66">
        <v>43980</v>
      </c>
      <c r="F44" s="64" t="s">
        <v>361</v>
      </c>
      <c r="G44" s="65" t="s">
        <v>26</v>
      </c>
      <c r="H44" s="66"/>
      <c r="I44" s="66"/>
      <c r="J44" s="66"/>
      <c r="K44" s="66">
        <v>43993</v>
      </c>
      <c r="L44" s="66"/>
      <c r="M44" s="65" t="s">
        <v>186</v>
      </c>
      <c r="N44" s="65"/>
      <c r="O44" s="65"/>
      <c r="P44" s="65"/>
      <c r="Q44" s="82" t="s">
        <v>386</v>
      </c>
      <c r="R44" s="63">
        <f t="shared" si="2"/>
        <v>13</v>
      </c>
    </row>
    <row r="45" spans="1:18" s="31" customFormat="1" x14ac:dyDescent="0.25">
      <c r="A45" s="87" t="s">
        <v>80</v>
      </c>
      <c r="B45" s="67" t="str">
        <f t="shared" ca="1" si="0"/>
        <v>Completed</v>
      </c>
      <c r="C45" s="60" t="s">
        <v>281</v>
      </c>
      <c r="D45" s="67"/>
      <c r="E45" s="61">
        <v>43987</v>
      </c>
      <c r="F45" s="60" t="s">
        <v>364</v>
      </c>
      <c r="G45" s="67"/>
      <c r="H45" s="61"/>
      <c r="I45" s="61"/>
      <c r="J45" s="61"/>
      <c r="K45" s="61">
        <v>43987</v>
      </c>
      <c r="L45" s="67"/>
      <c r="M45" s="67" t="s">
        <v>211</v>
      </c>
      <c r="N45" s="67"/>
      <c r="O45" s="67"/>
      <c r="P45" s="67"/>
      <c r="Q45" s="83" t="s">
        <v>365</v>
      </c>
      <c r="R45" s="59">
        <f t="shared" si="2"/>
        <v>0</v>
      </c>
    </row>
    <row r="46" spans="1:18" s="32" customFormat="1" x14ac:dyDescent="0.25">
      <c r="A46" s="88" t="s">
        <v>81</v>
      </c>
      <c r="B46" s="65" t="str">
        <f t="shared" ca="1" si="0"/>
        <v>Completed</v>
      </c>
      <c r="C46" s="64" t="s">
        <v>334</v>
      </c>
      <c r="D46" s="65" t="s">
        <v>14</v>
      </c>
      <c r="E46" s="66">
        <v>43990</v>
      </c>
      <c r="F46" s="64" t="s">
        <v>367</v>
      </c>
      <c r="G46" s="65"/>
      <c r="H46" s="66"/>
      <c r="I46" s="66"/>
      <c r="J46" s="66"/>
      <c r="K46" s="66">
        <v>43990</v>
      </c>
      <c r="L46" s="65"/>
      <c r="M46" s="65" t="s">
        <v>211</v>
      </c>
      <c r="N46" s="65"/>
      <c r="O46" s="65"/>
      <c r="P46" s="65"/>
      <c r="Q46" s="82" t="s">
        <v>368</v>
      </c>
      <c r="R46" s="63">
        <f t="shared" si="2"/>
        <v>0</v>
      </c>
    </row>
    <row r="47" spans="1:18" s="31" customFormat="1" ht="25.5" x14ac:dyDescent="0.25">
      <c r="A47" s="87" t="s">
        <v>82</v>
      </c>
      <c r="B47" s="60" t="str">
        <f t="shared" ca="1" si="0"/>
        <v>Completed</v>
      </c>
      <c r="C47" s="60" t="s">
        <v>263</v>
      </c>
      <c r="D47" s="67" t="s">
        <v>8</v>
      </c>
      <c r="E47" s="61">
        <v>43990</v>
      </c>
      <c r="F47" s="60" t="s">
        <v>370</v>
      </c>
      <c r="G47" s="67"/>
      <c r="H47" s="61"/>
      <c r="I47" s="61"/>
      <c r="J47" s="61"/>
      <c r="K47" s="61">
        <v>43991</v>
      </c>
      <c r="L47" s="67"/>
      <c r="M47" s="67" t="s">
        <v>186</v>
      </c>
      <c r="N47" s="67"/>
      <c r="O47" s="67"/>
      <c r="P47" s="67" t="s">
        <v>369</v>
      </c>
      <c r="Q47" s="83" t="s">
        <v>378</v>
      </c>
      <c r="R47" s="59">
        <f t="shared" si="2"/>
        <v>1</v>
      </c>
    </row>
    <row r="48" spans="1:18" s="32" customFormat="1" ht="25.5" x14ac:dyDescent="0.25">
      <c r="A48" s="88" t="s">
        <v>83</v>
      </c>
      <c r="B48" s="65" t="str">
        <f t="shared" ca="1" si="0"/>
        <v>Completed</v>
      </c>
      <c r="C48" s="64" t="s">
        <v>371</v>
      </c>
      <c r="D48" s="65" t="s">
        <v>14</v>
      </c>
      <c r="E48" s="66">
        <v>43986</v>
      </c>
      <c r="F48" s="64" t="s">
        <v>372</v>
      </c>
      <c r="G48" s="65"/>
      <c r="H48" s="66"/>
      <c r="I48" s="66"/>
      <c r="J48" s="66"/>
      <c r="K48" s="66">
        <v>43986</v>
      </c>
      <c r="L48" s="66"/>
      <c r="M48" s="65" t="s">
        <v>186</v>
      </c>
      <c r="N48" s="65"/>
      <c r="O48" s="65"/>
      <c r="P48" s="65"/>
      <c r="Q48" s="82" t="s">
        <v>373</v>
      </c>
      <c r="R48" s="63">
        <f t="shared" si="2"/>
        <v>0</v>
      </c>
    </row>
    <row r="49" spans="1:18" s="31" customFormat="1" ht="51" x14ac:dyDescent="0.25">
      <c r="A49" s="87" t="s">
        <v>84</v>
      </c>
      <c r="B49" s="67" t="str">
        <f t="shared" ca="1" si="0"/>
        <v>Completed</v>
      </c>
      <c r="C49" s="60" t="s">
        <v>375</v>
      </c>
      <c r="D49" s="67" t="s">
        <v>14</v>
      </c>
      <c r="E49" s="61">
        <v>43991</v>
      </c>
      <c r="F49" s="60" t="s">
        <v>374</v>
      </c>
      <c r="G49" s="67"/>
      <c r="H49" s="61"/>
      <c r="I49" s="61"/>
      <c r="J49" s="61"/>
      <c r="K49" s="61">
        <v>43991</v>
      </c>
      <c r="L49" s="67"/>
      <c r="M49" s="67" t="s">
        <v>186</v>
      </c>
      <c r="N49" s="67"/>
      <c r="O49" s="67" t="s">
        <v>376</v>
      </c>
      <c r="P49" s="67"/>
      <c r="Q49" s="83" t="s">
        <v>377</v>
      </c>
      <c r="R49" s="59">
        <f t="shared" si="2"/>
        <v>0</v>
      </c>
    </row>
    <row r="50" spans="1:18" s="32" customFormat="1" ht="38.25" x14ac:dyDescent="0.25">
      <c r="A50" s="88" t="s">
        <v>85</v>
      </c>
      <c r="B50" s="65" t="str">
        <f t="shared" ca="1" si="0"/>
        <v>Completed</v>
      </c>
      <c r="C50" s="64" t="s">
        <v>334</v>
      </c>
      <c r="D50" s="65" t="s">
        <v>14</v>
      </c>
      <c r="E50" s="66">
        <v>43992</v>
      </c>
      <c r="F50" s="64" t="s">
        <v>379</v>
      </c>
      <c r="G50" s="65"/>
      <c r="H50" s="66"/>
      <c r="I50" s="66"/>
      <c r="J50" s="66"/>
      <c r="K50" s="66">
        <v>43993</v>
      </c>
      <c r="L50" s="65"/>
      <c r="M50" s="65" t="s">
        <v>186</v>
      </c>
      <c r="N50" s="65"/>
      <c r="O50" s="65"/>
      <c r="P50" s="65"/>
      <c r="Q50" s="82" t="s">
        <v>380</v>
      </c>
      <c r="R50" s="63">
        <f t="shared" si="2"/>
        <v>1</v>
      </c>
    </row>
    <row r="51" spans="1:18" s="31" customFormat="1" ht="38.25" x14ac:dyDescent="0.25">
      <c r="A51" s="87" t="s">
        <v>86</v>
      </c>
      <c r="B51" s="60" t="str">
        <f t="shared" ca="1" si="0"/>
        <v>Completed</v>
      </c>
      <c r="C51" s="60" t="s">
        <v>362</v>
      </c>
      <c r="D51" s="67" t="s">
        <v>7</v>
      </c>
      <c r="E51" s="61">
        <v>43992</v>
      </c>
      <c r="F51" s="60" t="s">
        <v>382</v>
      </c>
      <c r="G51" s="67"/>
      <c r="H51" s="61"/>
      <c r="I51" s="61"/>
      <c r="J51" s="61"/>
      <c r="K51" s="61">
        <v>43994</v>
      </c>
      <c r="L51" s="67" t="s">
        <v>10</v>
      </c>
      <c r="M51" s="67" t="s">
        <v>211</v>
      </c>
      <c r="N51" s="67"/>
      <c r="O51" s="67"/>
      <c r="P51" s="67"/>
      <c r="Q51" s="83" t="s">
        <v>387</v>
      </c>
      <c r="R51" s="59">
        <f t="shared" si="2"/>
        <v>2</v>
      </c>
    </row>
    <row r="52" spans="1:18" s="32" customFormat="1" ht="25.5" x14ac:dyDescent="0.25">
      <c r="A52" s="88" t="s">
        <v>87</v>
      </c>
      <c r="B52" s="65" t="str">
        <f t="shared" ca="1" si="0"/>
        <v>Completed</v>
      </c>
      <c r="C52" s="64" t="s">
        <v>362</v>
      </c>
      <c r="D52" s="65" t="s">
        <v>7</v>
      </c>
      <c r="E52" s="66">
        <v>43993</v>
      </c>
      <c r="F52" s="64" t="s">
        <v>383</v>
      </c>
      <c r="G52" s="65"/>
      <c r="H52" s="66"/>
      <c r="I52" s="66"/>
      <c r="J52" s="66"/>
      <c r="K52" s="66">
        <v>43994</v>
      </c>
      <c r="L52" s="66"/>
      <c r="M52" s="65" t="s">
        <v>211</v>
      </c>
      <c r="N52" s="65"/>
      <c r="O52" s="65"/>
      <c r="P52" s="65"/>
      <c r="Q52" s="82" t="s">
        <v>384</v>
      </c>
      <c r="R52" s="63">
        <f t="shared" si="2"/>
        <v>1</v>
      </c>
    </row>
    <row r="53" spans="1:18" s="31" customFormat="1" ht="38.25" x14ac:dyDescent="0.25">
      <c r="A53" s="87" t="s">
        <v>88</v>
      </c>
      <c r="B53" s="67" t="str">
        <f t="shared" ca="1" si="0"/>
        <v>Completed</v>
      </c>
      <c r="C53" s="60" t="s">
        <v>362</v>
      </c>
      <c r="D53" s="67" t="s">
        <v>7</v>
      </c>
      <c r="E53" s="61">
        <v>43993</v>
      </c>
      <c r="F53" s="60" t="s">
        <v>406</v>
      </c>
      <c r="G53" s="67"/>
      <c r="H53" s="61"/>
      <c r="I53" s="61"/>
      <c r="J53" s="61"/>
      <c r="K53" s="61">
        <v>43994</v>
      </c>
      <c r="L53" s="67"/>
      <c r="M53" s="67" t="s">
        <v>211</v>
      </c>
      <c r="N53" s="67"/>
      <c r="O53" s="67"/>
      <c r="P53" s="67"/>
      <c r="Q53" s="83" t="s">
        <v>385</v>
      </c>
      <c r="R53" s="59">
        <f t="shared" si="2"/>
        <v>1</v>
      </c>
    </row>
    <row r="54" spans="1:18" s="32" customFormat="1" ht="63.75" x14ac:dyDescent="0.25">
      <c r="A54" s="88" t="s">
        <v>89</v>
      </c>
      <c r="B54" s="65">
        <f t="shared" ca="1" si="0"/>
        <v>390</v>
      </c>
      <c r="C54" s="64" t="s">
        <v>388</v>
      </c>
      <c r="D54" s="65" t="s">
        <v>6</v>
      </c>
      <c r="E54" s="66">
        <v>43993</v>
      </c>
      <c r="F54" s="64" t="s">
        <v>389</v>
      </c>
      <c r="G54" s="65" t="s">
        <v>23</v>
      </c>
      <c r="H54" s="66"/>
      <c r="I54" s="66"/>
      <c r="J54" s="66"/>
      <c r="K54" s="65"/>
      <c r="L54" s="65"/>
      <c r="M54" s="65" t="s">
        <v>27</v>
      </c>
      <c r="N54" s="65"/>
      <c r="O54" s="65"/>
      <c r="P54" s="65"/>
      <c r="Q54" s="82" t="s">
        <v>597</v>
      </c>
      <c r="R54" s="63">
        <f t="shared" si="2"/>
        <v>0</v>
      </c>
    </row>
    <row r="55" spans="1:18" s="31" customFormat="1" ht="114.75" x14ac:dyDescent="0.25">
      <c r="A55" s="87" t="s">
        <v>90</v>
      </c>
      <c r="B55" s="60" t="str">
        <f t="shared" ca="1" si="0"/>
        <v>Completed</v>
      </c>
      <c r="C55" s="60" t="s">
        <v>339</v>
      </c>
      <c r="D55" s="67" t="s">
        <v>6</v>
      </c>
      <c r="E55" s="61">
        <v>43998</v>
      </c>
      <c r="F55" s="60" t="s">
        <v>390</v>
      </c>
      <c r="G55" s="67" t="s">
        <v>24</v>
      </c>
      <c r="H55" s="61"/>
      <c r="I55" s="61"/>
      <c r="J55" s="61"/>
      <c r="K55" s="61">
        <v>44027</v>
      </c>
      <c r="L55" s="67"/>
      <c r="M55" s="67" t="s">
        <v>186</v>
      </c>
      <c r="N55" s="67"/>
      <c r="O55" s="67" t="s">
        <v>392</v>
      </c>
      <c r="P55" s="67" t="s">
        <v>391</v>
      </c>
      <c r="Q55" s="83" t="s">
        <v>466</v>
      </c>
      <c r="R55" s="59">
        <f t="shared" si="2"/>
        <v>29</v>
      </c>
    </row>
    <row r="56" spans="1:18" s="32" customFormat="1" ht="25.5" x14ac:dyDescent="0.25">
      <c r="A56" s="88" t="s">
        <v>91</v>
      </c>
      <c r="B56" s="65" t="str">
        <f t="shared" ca="1" si="0"/>
        <v>Completed</v>
      </c>
      <c r="C56" s="64" t="s">
        <v>362</v>
      </c>
      <c r="D56" s="65" t="s">
        <v>7</v>
      </c>
      <c r="E56" s="66">
        <v>43994</v>
      </c>
      <c r="F56" s="64" t="s">
        <v>394</v>
      </c>
      <c r="G56" s="65"/>
      <c r="H56" s="66"/>
      <c r="I56" s="66"/>
      <c r="J56" s="66"/>
      <c r="K56" s="66">
        <v>43998</v>
      </c>
      <c r="L56" s="66"/>
      <c r="M56" s="65" t="s">
        <v>211</v>
      </c>
      <c r="N56" s="65"/>
      <c r="O56" s="65"/>
      <c r="P56" s="65"/>
      <c r="Q56" s="82" t="s">
        <v>393</v>
      </c>
      <c r="R56" s="63">
        <f t="shared" si="2"/>
        <v>4</v>
      </c>
    </row>
    <row r="57" spans="1:18" s="31" customFormat="1" ht="76.5" x14ac:dyDescent="0.25">
      <c r="A57" s="87" t="s">
        <v>92</v>
      </c>
      <c r="B57" s="67" t="str">
        <f t="shared" ca="1" si="0"/>
        <v>Completed</v>
      </c>
      <c r="C57" s="60" t="s">
        <v>224</v>
      </c>
      <c r="D57" s="67" t="s">
        <v>7</v>
      </c>
      <c r="E57" s="61">
        <v>43997</v>
      </c>
      <c r="F57" s="60" t="s">
        <v>395</v>
      </c>
      <c r="G57" s="67"/>
      <c r="H57" s="61"/>
      <c r="I57" s="61"/>
      <c r="J57" s="61"/>
      <c r="K57" s="61">
        <v>43999</v>
      </c>
      <c r="L57" s="67"/>
      <c r="M57" s="67" t="s">
        <v>186</v>
      </c>
      <c r="N57" s="67"/>
      <c r="O57" s="67"/>
      <c r="P57" s="67"/>
      <c r="Q57" s="83" t="s">
        <v>426</v>
      </c>
      <c r="R57" s="59">
        <f t="shared" si="2"/>
        <v>2</v>
      </c>
    </row>
    <row r="58" spans="1:18" s="32" customFormat="1" ht="51" x14ac:dyDescent="0.25">
      <c r="A58" s="88" t="s">
        <v>93</v>
      </c>
      <c r="B58" s="65" t="str">
        <f t="shared" ca="1" si="0"/>
        <v>Completed</v>
      </c>
      <c r="C58" s="64" t="s">
        <v>360</v>
      </c>
      <c r="D58" s="65" t="s">
        <v>7</v>
      </c>
      <c r="E58" s="66">
        <v>43998</v>
      </c>
      <c r="F58" s="64" t="s">
        <v>396</v>
      </c>
      <c r="G58" s="65"/>
      <c r="H58" s="66"/>
      <c r="I58" s="66"/>
      <c r="J58" s="66"/>
      <c r="K58" s="66">
        <v>44004</v>
      </c>
      <c r="L58" s="65"/>
      <c r="M58" s="65" t="s">
        <v>186</v>
      </c>
      <c r="N58" s="65"/>
      <c r="O58" s="65"/>
      <c r="P58" s="65"/>
      <c r="Q58" s="82" t="s">
        <v>405</v>
      </c>
      <c r="R58" s="63">
        <f t="shared" si="2"/>
        <v>6</v>
      </c>
    </row>
    <row r="59" spans="1:18" s="31" customFormat="1" ht="38.25" x14ac:dyDescent="0.25">
      <c r="A59" s="87" t="s">
        <v>94</v>
      </c>
      <c r="B59" s="60" t="str">
        <f t="shared" ca="1" si="0"/>
        <v>Completed</v>
      </c>
      <c r="C59" s="60" t="s">
        <v>397</v>
      </c>
      <c r="D59" s="67" t="s">
        <v>7</v>
      </c>
      <c r="E59" s="61">
        <v>43998</v>
      </c>
      <c r="F59" s="60" t="s">
        <v>398</v>
      </c>
      <c r="G59" s="67" t="s">
        <v>26</v>
      </c>
      <c r="H59" s="61">
        <v>44001</v>
      </c>
      <c r="I59" s="61"/>
      <c r="J59" s="61"/>
      <c r="K59" s="61">
        <v>44001</v>
      </c>
      <c r="L59" s="67"/>
      <c r="M59" s="67" t="s">
        <v>186</v>
      </c>
      <c r="N59" s="67"/>
      <c r="O59" s="67"/>
      <c r="P59" s="67"/>
      <c r="Q59" s="83" t="s">
        <v>399</v>
      </c>
      <c r="R59" s="59">
        <f t="shared" si="2"/>
        <v>3</v>
      </c>
    </row>
    <row r="60" spans="1:18" s="32" customFormat="1" x14ac:dyDescent="0.25">
      <c r="A60" s="88" t="s">
        <v>95</v>
      </c>
      <c r="B60" s="65" t="str">
        <f t="shared" ca="1" si="0"/>
        <v>Completed</v>
      </c>
      <c r="C60" s="64" t="s">
        <v>400</v>
      </c>
      <c r="D60" s="65" t="s">
        <v>14</v>
      </c>
      <c r="E60" s="66">
        <v>44001</v>
      </c>
      <c r="F60" s="64" t="s">
        <v>401</v>
      </c>
      <c r="G60" s="65"/>
      <c r="H60" s="66"/>
      <c r="I60" s="66"/>
      <c r="J60" s="66"/>
      <c r="K60" s="66">
        <v>44004</v>
      </c>
      <c r="L60" s="66"/>
      <c r="M60" s="65" t="s">
        <v>211</v>
      </c>
      <c r="N60" s="65"/>
      <c r="O60" s="65"/>
      <c r="P60" s="65"/>
      <c r="Q60" s="82" t="s">
        <v>402</v>
      </c>
      <c r="R60" s="63">
        <f t="shared" si="2"/>
        <v>3</v>
      </c>
    </row>
    <row r="61" spans="1:18" s="31" customFormat="1" ht="76.5" x14ac:dyDescent="0.25">
      <c r="A61" s="87" t="s">
        <v>96</v>
      </c>
      <c r="B61" s="67" t="str">
        <f t="shared" ca="1" si="0"/>
        <v>Completed</v>
      </c>
      <c r="C61" s="60" t="s">
        <v>319</v>
      </c>
      <c r="D61" s="67" t="s">
        <v>6</v>
      </c>
      <c r="E61" s="61">
        <v>44004</v>
      </c>
      <c r="F61" s="60" t="s">
        <v>403</v>
      </c>
      <c r="G61" s="67" t="s">
        <v>23</v>
      </c>
      <c r="H61" s="61"/>
      <c r="I61" s="61"/>
      <c r="J61" s="61"/>
      <c r="K61" s="61">
        <v>44007</v>
      </c>
      <c r="L61" s="67"/>
      <c r="M61" s="67" t="s">
        <v>186</v>
      </c>
      <c r="N61" s="67"/>
      <c r="O61" s="67"/>
      <c r="P61" s="67"/>
      <c r="Q61" s="83" t="s">
        <v>417</v>
      </c>
      <c r="R61" s="59">
        <f t="shared" si="2"/>
        <v>3</v>
      </c>
    </row>
    <row r="62" spans="1:18" s="32" customFormat="1" x14ac:dyDescent="0.25">
      <c r="A62" s="88" t="s">
        <v>97</v>
      </c>
      <c r="B62" s="65" t="str">
        <f t="shared" ca="1" si="0"/>
        <v>Completed</v>
      </c>
      <c r="C62" s="64" t="s">
        <v>278</v>
      </c>
      <c r="D62" s="65" t="s">
        <v>7</v>
      </c>
      <c r="E62" s="66">
        <v>44004</v>
      </c>
      <c r="F62" s="64" t="s">
        <v>302</v>
      </c>
      <c r="G62" s="65"/>
      <c r="H62" s="66"/>
      <c r="I62" s="66"/>
      <c r="J62" s="66"/>
      <c r="K62" s="66">
        <v>44004</v>
      </c>
      <c r="L62" s="65"/>
      <c r="M62" s="65" t="s">
        <v>211</v>
      </c>
      <c r="N62" s="65"/>
      <c r="O62" s="65"/>
      <c r="P62" s="65"/>
      <c r="Q62" s="82" t="s">
        <v>404</v>
      </c>
      <c r="R62" s="63">
        <f t="shared" si="2"/>
        <v>0</v>
      </c>
    </row>
    <row r="63" spans="1:18" s="31" customFormat="1" ht="25.5" x14ac:dyDescent="0.25">
      <c r="A63" s="87" t="s">
        <v>98</v>
      </c>
      <c r="B63" s="60" t="str">
        <f t="shared" ca="1" si="0"/>
        <v>Completed</v>
      </c>
      <c r="C63" s="60" t="s">
        <v>339</v>
      </c>
      <c r="D63" s="67" t="s">
        <v>6</v>
      </c>
      <c r="E63" s="61">
        <v>44004</v>
      </c>
      <c r="F63" s="60" t="s">
        <v>407</v>
      </c>
      <c r="G63" s="67"/>
      <c r="H63" s="61"/>
      <c r="I63" s="61"/>
      <c r="J63" s="61"/>
      <c r="K63" s="61">
        <v>44005</v>
      </c>
      <c r="L63" s="67"/>
      <c r="M63" s="67" t="s">
        <v>211</v>
      </c>
      <c r="N63" s="67"/>
      <c r="O63" s="67"/>
      <c r="P63" s="67"/>
      <c r="Q63" s="83" t="s">
        <v>408</v>
      </c>
      <c r="R63" s="59">
        <f t="shared" si="2"/>
        <v>1</v>
      </c>
    </row>
    <row r="64" spans="1:18" s="32" customFormat="1" x14ac:dyDescent="0.25">
      <c r="A64" s="88" t="s">
        <v>99</v>
      </c>
      <c r="B64" s="65" t="str">
        <f t="shared" ca="1" si="0"/>
        <v>Completed</v>
      </c>
      <c r="C64" s="64" t="s">
        <v>319</v>
      </c>
      <c r="D64" s="65" t="s">
        <v>6</v>
      </c>
      <c r="E64" s="66">
        <v>44005</v>
      </c>
      <c r="F64" s="64" t="s">
        <v>412</v>
      </c>
      <c r="G64" s="65"/>
      <c r="H64" s="66"/>
      <c r="I64" s="66"/>
      <c r="J64" s="66"/>
      <c r="K64" s="66">
        <v>44006</v>
      </c>
      <c r="L64" s="66"/>
      <c r="M64" s="65" t="s">
        <v>214</v>
      </c>
      <c r="N64" s="65"/>
      <c r="O64" s="65"/>
      <c r="P64" s="65"/>
      <c r="Q64" s="82" t="s">
        <v>413</v>
      </c>
      <c r="R64" s="63">
        <f t="shared" si="2"/>
        <v>1</v>
      </c>
    </row>
    <row r="65" spans="1:18" s="31" customFormat="1" ht="38.25" x14ac:dyDescent="0.25">
      <c r="A65" s="87" t="s">
        <v>100</v>
      </c>
      <c r="B65" s="67" t="str">
        <f t="shared" ca="1" si="0"/>
        <v>Completed</v>
      </c>
      <c r="C65" s="60" t="s">
        <v>414</v>
      </c>
      <c r="D65" s="67" t="s">
        <v>14</v>
      </c>
      <c r="E65" s="61">
        <v>44005</v>
      </c>
      <c r="F65" s="60" t="s">
        <v>415</v>
      </c>
      <c r="G65" s="67"/>
      <c r="H65" s="61"/>
      <c r="I65" s="61"/>
      <c r="J65" s="61"/>
      <c r="K65" s="61">
        <v>44006</v>
      </c>
      <c r="L65" s="67"/>
      <c r="M65" s="67" t="s">
        <v>186</v>
      </c>
      <c r="N65" s="67"/>
      <c r="O65" s="67"/>
      <c r="P65" s="67"/>
      <c r="Q65" s="83" t="s">
        <v>416</v>
      </c>
      <c r="R65" s="59">
        <f t="shared" si="2"/>
        <v>1</v>
      </c>
    </row>
    <row r="66" spans="1:18" s="32" customFormat="1" ht="51" x14ac:dyDescent="0.25">
      <c r="A66" s="88" t="s">
        <v>101</v>
      </c>
      <c r="B66" s="65" t="str">
        <f t="shared" ca="1" si="0"/>
        <v>Completed</v>
      </c>
      <c r="C66" s="64" t="s">
        <v>319</v>
      </c>
      <c r="D66" s="65" t="s">
        <v>7</v>
      </c>
      <c r="E66" s="66">
        <v>43999</v>
      </c>
      <c r="F66" s="64" t="s">
        <v>418</v>
      </c>
      <c r="G66" s="65"/>
      <c r="H66" s="66"/>
      <c r="I66" s="66"/>
      <c r="J66" s="66"/>
      <c r="K66" s="66">
        <v>44007</v>
      </c>
      <c r="L66" s="65"/>
      <c r="M66" s="65" t="s">
        <v>186</v>
      </c>
      <c r="N66" s="65"/>
      <c r="O66" s="65"/>
      <c r="P66" s="65"/>
      <c r="Q66" s="82" t="s">
        <v>419</v>
      </c>
      <c r="R66" s="63">
        <f t="shared" si="2"/>
        <v>8</v>
      </c>
    </row>
    <row r="67" spans="1:18" s="31" customFormat="1" ht="25.5" x14ac:dyDescent="0.25">
      <c r="A67" s="87" t="s">
        <v>102</v>
      </c>
      <c r="B67" s="60" t="str">
        <f t="shared" ref="B67:B102" ca="1" si="3">IF(K67="", IF(C67&lt;&gt;"", (TODAY()-MAX(H67:J67,E67)),""), "Completed")</f>
        <v>Completed</v>
      </c>
      <c r="C67" s="60" t="s">
        <v>423</v>
      </c>
      <c r="D67" s="67" t="s">
        <v>7</v>
      </c>
      <c r="E67" s="61">
        <v>44007</v>
      </c>
      <c r="F67" s="60" t="s">
        <v>424</v>
      </c>
      <c r="G67" s="67"/>
      <c r="H67" s="61"/>
      <c r="I67" s="61"/>
      <c r="J67" s="61"/>
      <c r="K67" s="61">
        <v>44008</v>
      </c>
      <c r="L67" s="67"/>
      <c r="M67" s="67" t="s">
        <v>211</v>
      </c>
      <c r="N67" s="67"/>
      <c r="O67" s="67"/>
      <c r="P67" s="67"/>
      <c r="Q67" s="83" t="s">
        <v>425</v>
      </c>
      <c r="R67" s="59">
        <f t="shared" ref="R67:R102" si="4">IF(K67-E67&gt;0,K67-E67,0)</f>
        <v>1</v>
      </c>
    </row>
    <row r="68" spans="1:18" s="32" customFormat="1" x14ac:dyDescent="0.25">
      <c r="A68" s="88" t="s">
        <v>103</v>
      </c>
      <c r="B68" s="65" t="str">
        <f t="shared" ca="1" si="3"/>
        <v>Completed</v>
      </c>
      <c r="C68" s="64" t="s">
        <v>281</v>
      </c>
      <c r="D68" s="65"/>
      <c r="E68" s="66">
        <v>44007</v>
      </c>
      <c r="F68" s="64" t="s">
        <v>428</v>
      </c>
      <c r="G68" s="65"/>
      <c r="H68" s="66"/>
      <c r="I68" s="66"/>
      <c r="J68" s="66"/>
      <c r="K68" s="66">
        <v>44008</v>
      </c>
      <c r="L68" s="66"/>
      <c r="M68" s="65" t="s">
        <v>211</v>
      </c>
      <c r="N68" s="65"/>
      <c r="O68" s="65"/>
      <c r="P68" s="65"/>
      <c r="Q68" s="82" t="s">
        <v>429</v>
      </c>
      <c r="R68" s="63">
        <f t="shared" si="4"/>
        <v>1</v>
      </c>
    </row>
    <row r="69" spans="1:18" s="31" customFormat="1" x14ac:dyDescent="0.25">
      <c r="A69" s="87" t="s">
        <v>104</v>
      </c>
      <c r="B69" s="67" t="str">
        <f t="shared" ca="1" si="3"/>
        <v>Completed</v>
      </c>
      <c r="C69" s="60" t="s">
        <v>278</v>
      </c>
      <c r="D69" s="67" t="s">
        <v>7</v>
      </c>
      <c r="E69" s="61">
        <v>44018</v>
      </c>
      <c r="F69" s="60" t="s">
        <v>302</v>
      </c>
      <c r="G69" s="67"/>
      <c r="H69" s="61"/>
      <c r="I69" s="61"/>
      <c r="J69" s="61"/>
      <c r="K69" s="61">
        <v>44019</v>
      </c>
      <c r="L69" s="67"/>
      <c r="M69" s="67" t="s">
        <v>211</v>
      </c>
      <c r="N69" s="67"/>
      <c r="O69" s="67"/>
      <c r="P69" s="67"/>
      <c r="Q69" s="83" t="s">
        <v>442</v>
      </c>
      <c r="R69" s="59">
        <f t="shared" si="4"/>
        <v>1</v>
      </c>
    </row>
    <row r="70" spans="1:18" s="32" customFormat="1" ht="51" x14ac:dyDescent="0.25">
      <c r="A70" s="88" t="s">
        <v>105</v>
      </c>
      <c r="B70" s="65" t="str">
        <f t="shared" ca="1" si="3"/>
        <v>Completed</v>
      </c>
      <c r="C70" s="64" t="s">
        <v>443</v>
      </c>
      <c r="D70" s="65" t="s">
        <v>6</v>
      </c>
      <c r="E70" s="66">
        <v>44014</v>
      </c>
      <c r="F70" s="64" t="s">
        <v>444</v>
      </c>
      <c r="G70" s="65"/>
      <c r="H70" s="66"/>
      <c r="I70" s="66"/>
      <c r="J70" s="66"/>
      <c r="K70" s="66">
        <v>44019</v>
      </c>
      <c r="L70" s="65"/>
      <c r="M70" s="65" t="s">
        <v>186</v>
      </c>
      <c r="N70" s="65"/>
      <c r="O70" s="65"/>
      <c r="P70" s="65"/>
      <c r="Q70" s="82" t="s">
        <v>453</v>
      </c>
      <c r="R70" s="63">
        <f t="shared" si="4"/>
        <v>5</v>
      </c>
    </row>
    <row r="71" spans="1:18" s="31" customFormat="1" ht="51" x14ac:dyDescent="0.25">
      <c r="A71" s="87" t="s">
        <v>106</v>
      </c>
      <c r="B71" s="60" t="str">
        <f t="shared" ca="1" si="3"/>
        <v>Completed</v>
      </c>
      <c r="C71" s="60" t="s">
        <v>449</v>
      </c>
      <c r="D71" s="67" t="s">
        <v>4</v>
      </c>
      <c r="E71" s="61">
        <v>44015</v>
      </c>
      <c r="F71" s="60" t="s">
        <v>450</v>
      </c>
      <c r="G71" s="67"/>
      <c r="H71" s="61"/>
      <c r="I71" s="61"/>
      <c r="J71" s="61"/>
      <c r="K71" s="61">
        <v>44019</v>
      </c>
      <c r="L71" s="67"/>
      <c r="M71" s="67" t="s">
        <v>186</v>
      </c>
      <c r="N71" s="67"/>
      <c r="O71" s="67"/>
      <c r="P71" s="67"/>
      <c r="Q71" s="83" t="s">
        <v>458</v>
      </c>
      <c r="R71" s="59">
        <f t="shared" si="4"/>
        <v>4</v>
      </c>
    </row>
    <row r="72" spans="1:18" s="32" customFormat="1" ht="51" x14ac:dyDescent="0.25">
      <c r="A72" s="88" t="s">
        <v>107</v>
      </c>
      <c r="B72" s="65" t="str">
        <f t="shared" ca="1" si="3"/>
        <v>Completed</v>
      </c>
      <c r="C72" s="64" t="s">
        <v>456</v>
      </c>
      <c r="D72" s="65" t="s">
        <v>14</v>
      </c>
      <c r="E72" s="66">
        <v>44020</v>
      </c>
      <c r="F72" s="64" t="s">
        <v>457</v>
      </c>
      <c r="G72" s="65"/>
      <c r="H72" s="66"/>
      <c r="I72" s="66"/>
      <c r="J72" s="66"/>
      <c r="K72" s="66">
        <v>44022</v>
      </c>
      <c r="L72" s="66"/>
      <c r="M72" s="65" t="s">
        <v>186</v>
      </c>
      <c r="N72" s="65"/>
      <c r="O72" s="65"/>
      <c r="P72" s="65"/>
      <c r="Q72" s="82" t="s">
        <v>459</v>
      </c>
      <c r="R72" s="63">
        <f t="shared" si="4"/>
        <v>2</v>
      </c>
    </row>
    <row r="73" spans="1:18" s="31" customFormat="1" ht="15" x14ac:dyDescent="0.25">
      <c r="A73" s="87" t="s">
        <v>108</v>
      </c>
      <c r="B73" s="67" t="str">
        <f t="shared" ca="1" si="3"/>
        <v>Completed</v>
      </c>
      <c r="C73" s="70" t="s">
        <v>467</v>
      </c>
      <c r="D73" s="67" t="s">
        <v>14</v>
      </c>
      <c r="E73" s="61">
        <v>44025</v>
      </c>
      <c r="F73" s="60" t="s">
        <v>468</v>
      </c>
      <c r="G73" s="67"/>
      <c r="H73" s="61"/>
      <c r="I73" s="61"/>
      <c r="J73" s="61"/>
      <c r="K73" s="61">
        <v>44027</v>
      </c>
      <c r="L73" s="67"/>
      <c r="M73" s="67" t="s">
        <v>211</v>
      </c>
      <c r="N73" s="67"/>
      <c r="O73" s="67"/>
      <c r="P73" s="67"/>
      <c r="Q73" s="83" t="s">
        <v>469</v>
      </c>
      <c r="R73" s="59">
        <f t="shared" si="4"/>
        <v>2</v>
      </c>
    </row>
    <row r="74" spans="1:18" s="32" customFormat="1" ht="25.5" x14ac:dyDescent="0.25">
      <c r="A74" s="88" t="s">
        <v>109</v>
      </c>
      <c r="B74" s="65" t="str">
        <f t="shared" ca="1" si="3"/>
        <v>Completed</v>
      </c>
      <c r="C74" s="64" t="s">
        <v>330</v>
      </c>
      <c r="D74" s="65" t="s">
        <v>14</v>
      </c>
      <c r="E74" s="66">
        <v>44029</v>
      </c>
      <c r="F74" s="64" t="s">
        <v>474</v>
      </c>
      <c r="G74" s="65"/>
      <c r="H74" s="66"/>
      <c r="I74" s="66"/>
      <c r="J74" s="66"/>
      <c r="K74" s="66">
        <v>44032</v>
      </c>
      <c r="L74" s="65"/>
      <c r="M74" s="65" t="s">
        <v>211</v>
      </c>
      <c r="N74" s="65"/>
      <c r="O74" s="65"/>
      <c r="P74" s="65"/>
      <c r="Q74" s="82" t="s">
        <v>488</v>
      </c>
      <c r="R74" s="63">
        <f t="shared" si="4"/>
        <v>3</v>
      </c>
    </row>
    <row r="75" spans="1:18" s="31" customFormat="1" ht="25.5" x14ac:dyDescent="0.25">
      <c r="A75" s="87" t="s">
        <v>110</v>
      </c>
      <c r="B75" s="60" t="str">
        <f t="shared" ca="1" si="3"/>
        <v>Completed</v>
      </c>
      <c r="C75" s="60" t="s">
        <v>17</v>
      </c>
      <c r="D75" s="67" t="s">
        <v>14</v>
      </c>
      <c r="E75" s="61">
        <v>44033</v>
      </c>
      <c r="F75" s="60" t="s">
        <v>476</v>
      </c>
      <c r="G75" s="67"/>
      <c r="H75" s="61"/>
      <c r="I75" s="61"/>
      <c r="J75" s="61"/>
      <c r="K75" s="61">
        <v>44032</v>
      </c>
      <c r="L75" s="67"/>
      <c r="M75" s="67" t="s">
        <v>211</v>
      </c>
      <c r="N75" s="67"/>
      <c r="O75" s="67"/>
      <c r="P75" s="67"/>
      <c r="Q75" s="83" t="s">
        <v>482</v>
      </c>
      <c r="R75" s="59">
        <f t="shared" si="4"/>
        <v>0</v>
      </c>
    </row>
    <row r="76" spans="1:18" s="32" customFormat="1" ht="89.25" x14ac:dyDescent="0.25">
      <c r="A76" s="88" t="s">
        <v>111</v>
      </c>
      <c r="B76" s="65" t="str">
        <f t="shared" ca="1" si="3"/>
        <v>Completed</v>
      </c>
      <c r="C76" s="64" t="s">
        <v>319</v>
      </c>
      <c r="D76" s="65" t="s">
        <v>6</v>
      </c>
      <c r="E76" s="66">
        <v>44033</v>
      </c>
      <c r="F76" s="64" t="s">
        <v>477</v>
      </c>
      <c r="G76" s="65"/>
      <c r="H76" s="66"/>
      <c r="I76" s="66"/>
      <c r="J76" s="66"/>
      <c r="K76" s="66">
        <v>44034</v>
      </c>
      <c r="L76" s="66"/>
      <c r="M76" s="65" t="s">
        <v>186</v>
      </c>
      <c r="N76" s="65"/>
      <c r="O76" s="65"/>
      <c r="P76" s="65"/>
      <c r="Q76" s="82" t="s">
        <v>586</v>
      </c>
      <c r="R76" s="63">
        <f t="shared" si="4"/>
        <v>1</v>
      </c>
    </row>
    <row r="77" spans="1:18" s="31" customFormat="1" ht="25.5" x14ac:dyDescent="0.25">
      <c r="A77" s="87" t="s">
        <v>112</v>
      </c>
      <c r="B77" s="67" t="str">
        <f t="shared" ca="1" si="3"/>
        <v>Completed</v>
      </c>
      <c r="C77" s="60" t="s">
        <v>278</v>
      </c>
      <c r="D77" s="67" t="s">
        <v>7</v>
      </c>
      <c r="E77" s="61">
        <v>44034</v>
      </c>
      <c r="F77" s="60" t="s">
        <v>489</v>
      </c>
      <c r="G77" s="67"/>
      <c r="H77" s="61"/>
      <c r="I77" s="61"/>
      <c r="J77" s="61"/>
      <c r="K77" s="61">
        <v>44036</v>
      </c>
      <c r="L77" s="67"/>
      <c r="M77" s="67" t="s">
        <v>211</v>
      </c>
      <c r="N77" s="67"/>
      <c r="O77" s="67"/>
      <c r="P77" s="67"/>
      <c r="Q77" s="83" t="s">
        <v>490</v>
      </c>
      <c r="R77" s="59">
        <f t="shared" si="4"/>
        <v>2</v>
      </c>
    </row>
    <row r="78" spans="1:18" s="32" customFormat="1" ht="25.5" x14ac:dyDescent="0.25">
      <c r="A78" s="88" t="s">
        <v>113</v>
      </c>
      <c r="B78" s="65" t="str">
        <f t="shared" ca="1" si="3"/>
        <v>Completed</v>
      </c>
      <c r="C78" s="64" t="s">
        <v>281</v>
      </c>
      <c r="D78" s="65"/>
      <c r="E78" s="66">
        <v>44039</v>
      </c>
      <c r="F78" s="64" t="s">
        <v>492</v>
      </c>
      <c r="G78" s="65"/>
      <c r="H78" s="66"/>
      <c r="I78" s="66"/>
      <c r="J78" s="66"/>
      <c r="K78" s="66">
        <v>44040</v>
      </c>
      <c r="L78" s="65"/>
      <c r="M78" s="65" t="s">
        <v>211</v>
      </c>
      <c r="N78" s="65"/>
      <c r="O78" s="65"/>
      <c r="P78" s="65"/>
      <c r="Q78" s="82" t="s">
        <v>493</v>
      </c>
      <c r="R78" s="63">
        <f t="shared" si="4"/>
        <v>1</v>
      </c>
    </row>
    <row r="79" spans="1:18" s="31" customFormat="1" ht="38.25" x14ac:dyDescent="0.25">
      <c r="A79" s="87" t="s">
        <v>114</v>
      </c>
      <c r="B79" s="60" t="str">
        <f t="shared" ca="1" si="3"/>
        <v>Completed</v>
      </c>
      <c r="C79" s="60" t="s">
        <v>17</v>
      </c>
      <c r="D79" s="67" t="s">
        <v>14</v>
      </c>
      <c r="E79" s="61">
        <v>44040</v>
      </c>
      <c r="F79" s="60" t="s">
        <v>495</v>
      </c>
      <c r="G79" s="67"/>
      <c r="H79" s="61"/>
      <c r="I79" s="61"/>
      <c r="J79" s="61"/>
      <c r="K79" s="61">
        <v>44042</v>
      </c>
      <c r="L79" s="67"/>
      <c r="M79" s="67" t="s">
        <v>186</v>
      </c>
      <c r="N79" s="67"/>
      <c r="O79" s="67"/>
      <c r="P79" s="67"/>
      <c r="Q79" s="83" t="s">
        <v>494</v>
      </c>
      <c r="R79" s="59">
        <f t="shared" si="4"/>
        <v>2</v>
      </c>
    </row>
    <row r="80" spans="1:18" s="32" customFormat="1" ht="25.5" x14ac:dyDescent="0.25">
      <c r="A80" s="88" t="s">
        <v>115</v>
      </c>
      <c r="B80" s="65" t="str">
        <f t="shared" ca="1" si="3"/>
        <v>Completed</v>
      </c>
      <c r="C80" s="64" t="s">
        <v>319</v>
      </c>
      <c r="D80" s="65" t="s">
        <v>6</v>
      </c>
      <c r="E80" s="66">
        <v>44047</v>
      </c>
      <c r="F80" s="64" t="s">
        <v>496</v>
      </c>
      <c r="G80" s="65"/>
      <c r="H80" s="66"/>
      <c r="I80" s="66"/>
      <c r="J80" s="66"/>
      <c r="K80" s="66">
        <v>44047</v>
      </c>
      <c r="L80" s="66"/>
      <c r="M80" s="65" t="s">
        <v>186</v>
      </c>
      <c r="N80" s="65"/>
      <c r="O80" s="65"/>
      <c r="P80" s="65"/>
      <c r="Q80" s="82" t="s">
        <v>497</v>
      </c>
      <c r="R80" s="63">
        <f t="shared" si="4"/>
        <v>0</v>
      </c>
    </row>
    <row r="81" spans="1:18" s="31" customFormat="1" ht="38.25" x14ac:dyDescent="0.25">
      <c r="A81" s="87" t="s">
        <v>116</v>
      </c>
      <c r="B81" s="67" t="str">
        <f t="shared" ca="1" si="3"/>
        <v>Completed</v>
      </c>
      <c r="C81" s="60" t="s">
        <v>502</v>
      </c>
      <c r="D81" s="67" t="s">
        <v>6</v>
      </c>
      <c r="E81" s="61">
        <v>44049</v>
      </c>
      <c r="F81" s="60" t="s">
        <v>503</v>
      </c>
      <c r="G81" s="67"/>
      <c r="H81" s="61"/>
      <c r="I81" s="61"/>
      <c r="J81" s="61"/>
      <c r="K81" s="61">
        <v>44050</v>
      </c>
      <c r="L81" s="67"/>
      <c r="M81" s="67" t="s">
        <v>186</v>
      </c>
      <c r="N81" s="67"/>
      <c r="O81" s="67"/>
      <c r="P81" s="67"/>
      <c r="Q81" s="83" t="s">
        <v>505</v>
      </c>
      <c r="R81" s="59">
        <f t="shared" si="4"/>
        <v>1</v>
      </c>
    </row>
    <row r="82" spans="1:18" s="32" customFormat="1" ht="25.5" x14ac:dyDescent="0.25">
      <c r="A82" s="88" t="s">
        <v>117</v>
      </c>
      <c r="B82" s="65" t="str">
        <f t="shared" ca="1" si="3"/>
        <v>Completed</v>
      </c>
      <c r="C82" s="64" t="s">
        <v>506</v>
      </c>
      <c r="D82" s="65" t="s">
        <v>9</v>
      </c>
      <c r="E82" s="66">
        <v>44053</v>
      </c>
      <c r="F82" s="64" t="s">
        <v>507</v>
      </c>
      <c r="G82" s="65"/>
      <c r="H82" s="66"/>
      <c r="I82" s="66"/>
      <c r="J82" s="66"/>
      <c r="K82" s="66">
        <v>44054</v>
      </c>
      <c r="L82" s="65" t="s">
        <v>18</v>
      </c>
      <c r="M82" s="65" t="s">
        <v>214</v>
      </c>
      <c r="N82" s="65"/>
      <c r="O82" s="65"/>
      <c r="P82" s="65"/>
      <c r="Q82" s="82" t="s">
        <v>508</v>
      </c>
      <c r="R82" s="63">
        <f t="shared" si="4"/>
        <v>1</v>
      </c>
    </row>
    <row r="83" spans="1:18" s="31" customFormat="1" ht="38.25" x14ac:dyDescent="0.25">
      <c r="A83" s="87" t="s">
        <v>118</v>
      </c>
      <c r="B83" s="60" t="str">
        <f t="shared" ca="1" si="3"/>
        <v>Completed</v>
      </c>
      <c r="C83" s="60" t="s">
        <v>513</v>
      </c>
      <c r="D83" s="67" t="s">
        <v>14</v>
      </c>
      <c r="E83" s="61">
        <v>44056</v>
      </c>
      <c r="F83" s="60" t="s">
        <v>514</v>
      </c>
      <c r="G83" s="67"/>
      <c r="H83" s="61"/>
      <c r="I83" s="61"/>
      <c r="J83" s="61"/>
      <c r="K83" s="61">
        <v>44056</v>
      </c>
      <c r="L83" s="67"/>
      <c r="M83" s="67" t="s">
        <v>186</v>
      </c>
      <c r="N83" s="67"/>
      <c r="O83" s="67"/>
      <c r="P83" s="67"/>
      <c r="Q83" s="83" t="s">
        <v>515</v>
      </c>
      <c r="R83" s="59">
        <f t="shared" si="4"/>
        <v>0</v>
      </c>
    </row>
    <row r="84" spans="1:18" s="32" customFormat="1" ht="25.5" x14ac:dyDescent="0.25">
      <c r="A84" s="88" t="s">
        <v>119</v>
      </c>
      <c r="B84" s="65" t="str">
        <f t="shared" ca="1" si="3"/>
        <v>Completed</v>
      </c>
      <c r="C84" s="64" t="s">
        <v>443</v>
      </c>
      <c r="D84" s="65" t="s">
        <v>7</v>
      </c>
      <c r="E84" s="66">
        <v>44056</v>
      </c>
      <c r="F84" s="64" t="s">
        <v>516</v>
      </c>
      <c r="G84" s="65"/>
      <c r="H84" s="66"/>
      <c r="I84" s="66"/>
      <c r="J84" s="66"/>
      <c r="K84" s="66">
        <v>44057</v>
      </c>
      <c r="L84" s="66"/>
      <c r="M84" s="65" t="s">
        <v>211</v>
      </c>
      <c r="N84" s="65"/>
      <c r="O84" s="65"/>
      <c r="P84" s="65"/>
      <c r="Q84" s="82" t="s">
        <v>517</v>
      </c>
      <c r="R84" s="63">
        <f t="shared" si="4"/>
        <v>1</v>
      </c>
    </row>
    <row r="85" spans="1:18" s="31" customFormat="1" x14ac:dyDescent="0.25">
      <c r="A85" s="87" t="s">
        <v>120</v>
      </c>
      <c r="B85" s="67" t="str">
        <f t="shared" ca="1" si="3"/>
        <v>Completed</v>
      </c>
      <c r="C85" s="60" t="s">
        <v>519</v>
      </c>
      <c r="D85" s="67" t="s">
        <v>14</v>
      </c>
      <c r="E85" s="61">
        <v>44056</v>
      </c>
      <c r="F85" s="60" t="s">
        <v>520</v>
      </c>
      <c r="G85" s="67"/>
      <c r="H85" s="61"/>
      <c r="I85" s="61"/>
      <c r="J85" s="61"/>
      <c r="K85" s="61">
        <v>44057</v>
      </c>
      <c r="L85" s="67"/>
      <c r="M85" s="67" t="s">
        <v>186</v>
      </c>
      <c r="N85" s="67"/>
      <c r="O85" s="67"/>
      <c r="P85" s="67"/>
      <c r="Q85" s="83" t="s">
        <v>521</v>
      </c>
      <c r="R85" s="59">
        <f t="shared" si="4"/>
        <v>1</v>
      </c>
    </row>
    <row r="86" spans="1:18" s="32" customFormat="1" ht="25.5" x14ac:dyDescent="0.25">
      <c r="A86" s="88" t="s">
        <v>121</v>
      </c>
      <c r="B86" s="65" t="str">
        <f t="shared" ca="1" si="3"/>
        <v>Completed</v>
      </c>
      <c r="C86" s="64" t="s">
        <v>527</v>
      </c>
      <c r="D86" s="65" t="s">
        <v>9</v>
      </c>
      <c r="E86" s="66">
        <v>44060</v>
      </c>
      <c r="F86" s="64" t="s">
        <v>528</v>
      </c>
      <c r="G86" s="65"/>
      <c r="H86" s="66"/>
      <c r="I86" s="66"/>
      <c r="J86" s="66"/>
      <c r="K86" s="66">
        <v>44060</v>
      </c>
      <c r="L86" s="65"/>
      <c r="M86" s="65" t="s">
        <v>211</v>
      </c>
      <c r="N86" s="65"/>
      <c r="O86" s="65"/>
      <c r="P86" s="65"/>
      <c r="Q86" s="82" t="s">
        <v>529</v>
      </c>
      <c r="R86" s="63">
        <f t="shared" si="4"/>
        <v>0</v>
      </c>
    </row>
    <row r="87" spans="1:18" s="31" customFormat="1" ht="25.5" x14ac:dyDescent="0.25">
      <c r="A87" s="87" t="s">
        <v>122</v>
      </c>
      <c r="B87" s="60" t="str">
        <f t="shared" ca="1" si="3"/>
        <v>Completed</v>
      </c>
      <c r="C87" s="60" t="s">
        <v>279</v>
      </c>
      <c r="D87" s="67" t="s">
        <v>5</v>
      </c>
      <c r="E87" s="61">
        <v>44061</v>
      </c>
      <c r="F87" s="60" t="s">
        <v>535</v>
      </c>
      <c r="G87" s="67"/>
      <c r="H87" s="61"/>
      <c r="I87" s="61"/>
      <c r="J87" s="61"/>
      <c r="K87" s="61">
        <v>44064</v>
      </c>
      <c r="L87" s="67"/>
      <c r="M87" s="67" t="s">
        <v>211</v>
      </c>
      <c r="N87" s="67"/>
      <c r="O87" s="67"/>
      <c r="P87" s="67"/>
      <c r="Q87" s="83" t="s">
        <v>536</v>
      </c>
      <c r="R87" s="59">
        <f t="shared" si="4"/>
        <v>3</v>
      </c>
    </row>
    <row r="88" spans="1:18" s="32" customFormat="1" x14ac:dyDescent="0.25">
      <c r="A88" s="88" t="s">
        <v>123</v>
      </c>
      <c r="B88" s="65" t="str">
        <f t="shared" ca="1" si="3"/>
        <v>Completed</v>
      </c>
      <c r="C88" s="64" t="s">
        <v>278</v>
      </c>
      <c r="D88" s="65" t="s">
        <v>7</v>
      </c>
      <c r="E88" s="66">
        <v>44062</v>
      </c>
      <c r="F88" s="64" t="s">
        <v>538</v>
      </c>
      <c r="G88" s="65"/>
      <c r="H88" s="66"/>
      <c r="I88" s="66"/>
      <c r="J88" s="66"/>
      <c r="K88" s="66">
        <v>44064</v>
      </c>
      <c r="L88" s="66"/>
      <c r="M88" s="65" t="s">
        <v>211</v>
      </c>
      <c r="N88" s="65"/>
      <c r="O88" s="65"/>
      <c r="P88" s="65" t="s">
        <v>537</v>
      </c>
      <c r="Q88" s="82" t="s">
        <v>539</v>
      </c>
      <c r="R88" s="63">
        <f t="shared" si="4"/>
        <v>2</v>
      </c>
    </row>
    <row r="89" spans="1:18" s="31" customFormat="1" ht="25.5" x14ac:dyDescent="0.25">
      <c r="A89" s="87" t="s">
        <v>124</v>
      </c>
      <c r="B89" s="67" t="str">
        <f t="shared" ca="1" si="3"/>
        <v>Completed</v>
      </c>
      <c r="C89" s="60" t="s">
        <v>278</v>
      </c>
      <c r="D89" s="67" t="s">
        <v>7</v>
      </c>
      <c r="E89" s="61">
        <v>44063</v>
      </c>
      <c r="F89" s="60" t="s">
        <v>540</v>
      </c>
      <c r="G89" s="67"/>
      <c r="H89" s="61"/>
      <c r="I89" s="61"/>
      <c r="J89" s="61"/>
      <c r="K89" s="61">
        <v>44064</v>
      </c>
      <c r="L89" s="67"/>
      <c r="M89" s="67" t="s">
        <v>211</v>
      </c>
      <c r="N89" s="67"/>
      <c r="O89" s="67"/>
      <c r="P89" s="67"/>
      <c r="Q89" s="83" t="s">
        <v>548</v>
      </c>
      <c r="R89" s="59">
        <f t="shared" si="4"/>
        <v>1</v>
      </c>
    </row>
    <row r="90" spans="1:18" s="32" customFormat="1" x14ac:dyDescent="0.25">
      <c r="A90" s="88" t="s">
        <v>125</v>
      </c>
      <c r="B90" s="65" t="str">
        <f t="shared" ca="1" si="3"/>
        <v>Completed</v>
      </c>
      <c r="C90" s="64" t="s">
        <v>541</v>
      </c>
      <c r="D90" s="65" t="s">
        <v>6</v>
      </c>
      <c r="E90" s="66">
        <v>44063</v>
      </c>
      <c r="F90" s="64" t="s">
        <v>542</v>
      </c>
      <c r="G90" s="65"/>
      <c r="H90" s="66"/>
      <c r="I90" s="66"/>
      <c r="J90" s="66"/>
      <c r="K90" s="66">
        <v>44064</v>
      </c>
      <c r="L90" s="65"/>
      <c r="M90" s="65" t="s">
        <v>211</v>
      </c>
      <c r="N90" s="65"/>
      <c r="O90" s="65"/>
      <c r="P90" s="65"/>
      <c r="Q90" s="82" t="s">
        <v>543</v>
      </c>
      <c r="R90" s="63">
        <f t="shared" si="4"/>
        <v>1</v>
      </c>
    </row>
    <row r="91" spans="1:18" s="31" customFormat="1" ht="25.5" x14ac:dyDescent="0.25">
      <c r="A91" s="87" t="s">
        <v>126</v>
      </c>
      <c r="B91" s="60" t="str">
        <f t="shared" ca="1" si="3"/>
        <v>Completed</v>
      </c>
      <c r="C91" s="60" t="s">
        <v>443</v>
      </c>
      <c r="D91" s="67" t="s">
        <v>7</v>
      </c>
      <c r="E91" s="61">
        <v>44063</v>
      </c>
      <c r="F91" s="60" t="s">
        <v>544</v>
      </c>
      <c r="G91" s="67"/>
      <c r="H91" s="61"/>
      <c r="I91" s="61"/>
      <c r="J91" s="61"/>
      <c r="K91" s="61">
        <v>44064</v>
      </c>
      <c r="L91" s="67"/>
      <c r="M91" s="67" t="s">
        <v>211</v>
      </c>
      <c r="N91" s="67"/>
      <c r="O91" s="67"/>
      <c r="P91" s="67"/>
      <c r="Q91" s="83" t="s">
        <v>545</v>
      </c>
      <c r="R91" s="59">
        <f t="shared" si="4"/>
        <v>1</v>
      </c>
    </row>
    <row r="92" spans="1:18" s="32" customFormat="1" ht="76.5" x14ac:dyDescent="0.25">
      <c r="A92" s="88" t="s">
        <v>127</v>
      </c>
      <c r="B92" s="65" t="str">
        <f t="shared" ca="1" si="3"/>
        <v>Completed</v>
      </c>
      <c r="C92" s="64" t="s">
        <v>443</v>
      </c>
      <c r="D92" s="65" t="s">
        <v>7</v>
      </c>
      <c r="E92" s="66">
        <v>44063</v>
      </c>
      <c r="F92" s="64" t="s">
        <v>546</v>
      </c>
      <c r="G92" s="65"/>
      <c r="H92" s="66"/>
      <c r="I92" s="66"/>
      <c r="J92" s="66"/>
      <c r="K92" s="66">
        <v>44064</v>
      </c>
      <c r="L92" s="66"/>
      <c r="M92" s="65" t="s">
        <v>186</v>
      </c>
      <c r="N92" s="65" t="s">
        <v>547</v>
      </c>
      <c r="O92" s="65"/>
      <c r="P92" s="65"/>
      <c r="Q92" s="82" t="s">
        <v>588</v>
      </c>
      <c r="R92" s="63">
        <f t="shared" si="4"/>
        <v>1</v>
      </c>
    </row>
    <row r="93" spans="1:18" s="31" customFormat="1" ht="25.5" x14ac:dyDescent="0.25">
      <c r="A93" s="87" t="s">
        <v>128</v>
      </c>
      <c r="B93" s="67" t="str">
        <f t="shared" ca="1" si="3"/>
        <v>Completed</v>
      </c>
      <c r="C93" s="60" t="s">
        <v>304</v>
      </c>
      <c r="D93" s="67" t="s">
        <v>8</v>
      </c>
      <c r="E93" s="61">
        <v>44064</v>
      </c>
      <c r="F93" s="60" t="s">
        <v>549</v>
      </c>
      <c r="G93" s="67"/>
      <c r="H93" s="61"/>
      <c r="I93" s="61"/>
      <c r="J93" s="61"/>
      <c r="K93" s="61">
        <v>44067</v>
      </c>
      <c r="L93" s="67"/>
      <c r="M93" s="67" t="s">
        <v>211</v>
      </c>
      <c r="N93" s="67"/>
      <c r="O93" s="67"/>
      <c r="P93" s="67"/>
      <c r="Q93" s="83" t="s">
        <v>550</v>
      </c>
      <c r="R93" s="59">
        <f t="shared" si="4"/>
        <v>3</v>
      </c>
    </row>
    <row r="94" spans="1:18" s="32" customFormat="1" ht="38.25" x14ac:dyDescent="0.25">
      <c r="A94" s="88" t="s">
        <v>129</v>
      </c>
      <c r="B94" s="65" t="str">
        <f t="shared" ca="1" si="3"/>
        <v>Completed</v>
      </c>
      <c r="C94" s="64" t="s">
        <v>559</v>
      </c>
      <c r="D94" s="65" t="s">
        <v>6</v>
      </c>
      <c r="E94" s="66">
        <v>44070</v>
      </c>
      <c r="F94" s="64" t="s">
        <v>560</v>
      </c>
      <c r="G94" s="65"/>
      <c r="H94" s="66"/>
      <c r="I94" s="66"/>
      <c r="J94" s="66"/>
      <c r="K94" s="66">
        <v>44071</v>
      </c>
      <c r="L94" s="65"/>
      <c r="M94" s="65" t="s">
        <v>211</v>
      </c>
      <c r="N94" s="65"/>
      <c r="O94" s="65"/>
      <c r="P94" s="65"/>
      <c r="Q94" s="82" t="s">
        <v>561</v>
      </c>
      <c r="R94" s="63">
        <f t="shared" si="4"/>
        <v>1</v>
      </c>
    </row>
    <row r="95" spans="1:18" s="31" customFormat="1" ht="25.5" x14ac:dyDescent="0.25">
      <c r="A95" s="87" t="s">
        <v>130</v>
      </c>
      <c r="B95" s="60" t="str">
        <f t="shared" ca="1" si="3"/>
        <v>Completed</v>
      </c>
      <c r="C95" s="60" t="s">
        <v>570</v>
      </c>
      <c r="D95" s="67" t="s">
        <v>14</v>
      </c>
      <c r="E95" s="61">
        <v>44074</v>
      </c>
      <c r="F95" s="60" t="s">
        <v>571</v>
      </c>
      <c r="G95" s="67"/>
      <c r="H95" s="61"/>
      <c r="I95" s="61"/>
      <c r="J95" s="61"/>
      <c r="K95" s="61">
        <v>44075</v>
      </c>
      <c r="L95" s="67"/>
      <c r="M95" s="67" t="s">
        <v>211</v>
      </c>
      <c r="N95" s="67"/>
      <c r="O95" s="67"/>
      <c r="P95" s="67"/>
      <c r="Q95" s="83" t="s">
        <v>572</v>
      </c>
      <c r="R95" s="59">
        <f t="shared" si="4"/>
        <v>1</v>
      </c>
    </row>
    <row r="96" spans="1:18" s="32" customFormat="1" ht="38.25" x14ac:dyDescent="0.25">
      <c r="A96" s="88" t="s">
        <v>131</v>
      </c>
      <c r="B96" s="65" t="str">
        <f ca="1">IF(K96="", IF(C96&lt;&gt;"", (TODAY()-MAX(H96:J96,E96)),""), "Completed")</f>
        <v>Completed</v>
      </c>
      <c r="C96" s="64" t="s">
        <v>577</v>
      </c>
      <c r="D96" s="65" t="s">
        <v>14</v>
      </c>
      <c r="E96" s="66">
        <v>44077</v>
      </c>
      <c r="F96" s="64" t="s">
        <v>578</v>
      </c>
      <c r="G96" s="65"/>
      <c r="H96" s="66"/>
      <c r="I96" s="66"/>
      <c r="J96" s="66"/>
      <c r="K96" s="66">
        <v>44077</v>
      </c>
      <c r="L96" s="66"/>
      <c r="M96" s="65" t="s">
        <v>211</v>
      </c>
      <c r="N96" s="65"/>
      <c r="O96" s="65"/>
      <c r="P96" s="65"/>
      <c r="Q96" s="82" t="s">
        <v>579</v>
      </c>
      <c r="R96" s="63">
        <f t="shared" si="4"/>
        <v>0</v>
      </c>
    </row>
    <row r="97" spans="1:29" s="31" customFormat="1" ht="25.5" x14ac:dyDescent="0.25">
      <c r="A97" s="87" t="s">
        <v>132</v>
      </c>
      <c r="B97" s="67" t="str">
        <f t="shared" ca="1" si="3"/>
        <v>Completed</v>
      </c>
      <c r="C97" s="60" t="s">
        <v>581</v>
      </c>
      <c r="D97" s="67" t="s">
        <v>6</v>
      </c>
      <c r="E97" s="61">
        <v>44077</v>
      </c>
      <c r="F97" s="60" t="s">
        <v>582</v>
      </c>
      <c r="G97" s="67"/>
      <c r="H97" s="61"/>
      <c r="I97" s="61"/>
      <c r="J97" s="61"/>
      <c r="K97" s="61">
        <v>44077</v>
      </c>
      <c r="L97" s="67" t="s">
        <v>19</v>
      </c>
      <c r="M97" s="67" t="s">
        <v>214</v>
      </c>
      <c r="N97" s="67"/>
      <c r="O97" s="67"/>
      <c r="P97" s="67"/>
      <c r="Q97" s="83" t="s">
        <v>583</v>
      </c>
      <c r="R97" s="59">
        <f t="shared" si="4"/>
        <v>0</v>
      </c>
    </row>
    <row r="98" spans="1:29" s="32" customFormat="1" ht="38.25" x14ac:dyDescent="0.25">
      <c r="A98" s="88" t="s">
        <v>133</v>
      </c>
      <c r="B98" s="65" t="str">
        <f t="shared" ca="1" si="3"/>
        <v>Completed</v>
      </c>
      <c r="C98" s="64" t="s">
        <v>414</v>
      </c>
      <c r="D98" s="65" t="s">
        <v>14</v>
      </c>
      <c r="E98" s="66">
        <v>44070</v>
      </c>
      <c r="F98" s="64" t="s">
        <v>584</v>
      </c>
      <c r="G98" s="65"/>
      <c r="H98" s="66"/>
      <c r="I98" s="66"/>
      <c r="J98" s="66"/>
      <c r="K98" s="66">
        <v>44078</v>
      </c>
      <c r="L98" s="65"/>
      <c r="M98" s="65" t="s">
        <v>186</v>
      </c>
      <c r="N98" s="65"/>
      <c r="O98" s="65"/>
      <c r="P98" s="65"/>
      <c r="Q98" s="82" t="s">
        <v>585</v>
      </c>
      <c r="R98" s="63">
        <f t="shared" si="4"/>
        <v>8</v>
      </c>
    </row>
    <row r="99" spans="1:29" s="31" customFormat="1" ht="38.25" x14ac:dyDescent="0.25">
      <c r="A99" s="87" t="s">
        <v>134</v>
      </c>
      <c r="B99" s="60" t="str">
        <f t="shared" ca="1" si="3"/>
        <v>Completed</v>
      </c>
      <c r="C99" s="60" t="s">
        <v>590</v>
      </c>
      <c r="D99" s="67" t="s">
        <v>7</v>
      </c>
      <c r="E99" s="61">
        <v>44077</v>
      </c>
      <c r="F99" s="60" t="s">
        <v>591</v>
      </c>
      <c r="G99" s="67"/>
      <c r="H99" s="61"/>
      <c r="I99" s="61"/>
      <c r="J99" s="61"/>
      <c r="K99" s="61">
        <v>44078</v>
      </c>
      <c r="L99" s="67" t="s">
        <v>19</v>
      </c>
      <c r="M99" s="67" t="s">
        <v>214</v>
      </c>
      <c r="N99" s="67"/>
      <c r="O99" s="67"/>
      <c r="P99" s="67"/>
      <c r="Q99" s="83" t="s">
        <v>587</v>
      </c>
      <c r="R99" s="59">
        <f t="shared" si="4"/>
        <v>1</v>
      </c>
    </row>
    <row r="100" spans="1:29" s="32" customFormat="1" ht="25.5" x14ac:dyDescent="0.25">
      <c r="A100" s="88" t="s">
        <v>135</v>
      </c>
      <c r="B100" s="65" t="str">
        <f t="shared" ca="1" si="3"/>
        <v>Completed</v>
      </c>
      <c r="C100" s="64" t="s">
        <v>263</v>
      </c>
      <c r="D100" s="65" t="s">
        <v>8</v>
      </c>
      <c r="E100" s="66">
        <v>44075</v>
      </c>
      <c r="F100" s="64" t="s">
        <v>589</v>
      </c>
      <c r="G100" s="65"/>
      <c r="H100" s="66"/>
      <c r="I100" s="66"/>
      <c r="J100" s="66"/>
      <c r="K100" s="66">
        <v>44078</v>
      </c>
      <c r="L100" s="66"/>
      <c r="M100" s="65" t="s">
        <v>211</v>
      </c>
      <c r="N100" s="65"/>
      <c r="O100" s="65"/>
      <c r="P100" s="65"/>
      <c r="Q100" s="82" t="s">
        <v>603</v>
      </c>
      <c r="R100" s="63">
        <f t="shared" si="4"/>
        <v>3</v>
      </c>
    </row>
    <row r="101" spans="1:29" s="31" customFormat="1" x14ac:dyDescent="0.25">
      <c r="A101" s="87" t="s">
        <v>136</v>
      </c>
      <c r="B101" s="67" t="str">
        <f t="shared" ca="1" si="3"/>
        <v>Completed</v>
      </c>
      <c r="C101" s="60" t="s">
        <v>273</v>
      </c>
      <c r="D101" s="67" t="s">
        <v>14</v>
      </c>
      <c r="E101" s="61">
        <v>44082</v>
      </c>
      <c r="F101" s="60" t="s">
        <v>598</v>
      </c>
      <c r="G101" s="67"/>
      <c r="H101" s="61"/>
      <c r="I101" s="61"/>
      <c r="J101" s="61"/>
      <c r="K101" s="61">
        <v>44083</v>
      </c>
      <c r="L101" s="67"/>
      <c r="M101" s="67" t="s">
        <v>211</v>
      </c>
      <c r="N101" s="67"/>
      <c r="O101" s="67"/>
      <c r="P101" s="67"/>
      <c r="Q101" s="83" t="s">
        <v>599</v>
      </c>
      <c r="R101" s="59">
        <f t="shared" si="4"/>
        <v>1</v>
      </c>
    </row>
    <row r="102" spans="1:29" s="32" customFormat="1" ht="38.25" x14ac:dyDescent="0.25">
      <c r="A102" s="88" t="s">
        <v>137</v>
      </c>
      <c r="B102" s="65" t="str">
        <f t="shared" ca="1" si="3"/>
        <v>Completed</v>
      </c>
      <c r="C102" s="64" t="s">
        <v>602</v>
      </c>
      <c r="D102" s="65" t="s">
        <v>4</v>
      </c>
      <c r="E102" s="66">
        <v>44076</v>
      </c>
      <c r="F102" s="64" t="s">
        <v>600</v>
      </c>
      <c r="G102" s="65"/>
      <c r="H102" s="66"/>
      <c r="I102" s="66"/>
      <c r="J102" s="66"/>
      <c r="K102" s="66">
        <v>44083</v>
      </c>
      <c r="L102" s="65"/>
      <c r="M102" s="65" t="s">
        <v>186</v>
      </c>
      <c r="N102" s="65"/>
      <c r="O102" s="65"/>
      <c r="P102" s="65"/>
      <c r="Q102" s="82" t="s">
        <v>601</v>
      </c>
      <c r="R102" s="63">
        <f t="shared" si="4"/>
        <v>7</v>
      </c>
    </row>
    <row r="103" spans="1:29" s="31" customFormat="1" ht="51" x14ac:dyDescent="0.25">
      <c r="A103" s="87" t="s">
        <v>897</v>
      </c>
      <c r="B103" s="60" t="s">
        <v>267</v>
      </c>
      <c r="C103" s="60" t="s">
        <v>959</v>
      </c>
      <c r="D103" s="67" t="s">
        <v>5</v>
      </c>
      <c r="E103" s="61">
        <v>44169</v>
      </c>
      <c r="F103" s="60" t="s">
        <v>960</v>
      </c>
      <c r="G103" s="67" t="s">
        <v>22</v>
      </c>
      <c r="H103" s="61"/>
      <c r="I103" s="61"/>
      <c r="J103" s="61"/>
      <c r="K103" s="61">
        <v>44287</v>
      </c>
      <c r="L103" s="67"/>
      <c r="M103" s="67" t="s">
        <v>186</v>
      </c>
      <c r="N103" s="67"/>
      <c r="O103" s="67"/>
      <c r="P103" s="67" t="s">
        <v>961</v>
      </c>
      <c r="Q103" s="83" t="s">
        <v>962</v>
      </c>
      <c r="R103" s="59">
        <v>118</v>
      </c>
    </row>
    <row r="104" spans="1:29" s="32" customFormat="1" ht="25.5" x14ac:dyDescent="0.25">
      <c r="A104" s="88" t="s">
        <v>901</v>
      </c>
      <c r="B104" s="65" t="s">
        <v>267</v>
      </c>
      <c r="C104" s="64" t="s">
        <v>963</v>
      </c>
      <c r="D104" s="65" t="s">
        <v>7</v>
      </c>
      <c r="E104" s="66">
        <v>44281</v>
      </c>
      <c r="F104" s="64" t="s">
        <v>964</v>
      </c>
      <c r="G104" s="65"/>
      <c r="H104" s="66"/>
      <c r="I104" s="66"/>
      <c r="J104" s="66"/>
      <c r="K104" s="66">
        <v>44287</v>
      </c>
      <c r="L104" s="66" t="s">
        <v>19</v>
      </c>
      <c r="M104" s="65" t="s">
        <v>965</v>
      </c>
      <c r="N104" s="65"/>
      <c r="O104" s="65"/>
      <c r="P104" s="65"/>
      <c r="Q104" s="82"/>
      <c r="R104" s="63">
        <v>6</v>
      </c>
    </row>
    <row r="105" spans="1:29" s="32" customFormat="1" ht="25.5" x14ac:dyDescent="0.25">
      <c r="A105" s="87" t="s">
        <v>902</v>
      </c>
      <c r="B105" s="67" t="s">
        <v>267</v>
      </c>
      <c r="C105" s="60" t="s">
        <v>966</v>
      </c>
      <c r="D105" s="67" t="s">
        <v>7</v>
      </c>
      <c r="E105" s="61">
        <v>44292</v>
      </c>
      <c r="F105" s="60" t="s">
        <v>967</v>
      </c>
      <c r="G105" s="67"/>
      <c r="H105" s="61"/>
      <c r="I105" s="61"/>
      <c r="J105" s="61"/>
      <c r="K105" s="61">
        <v>44292</v>
      </c>
      <c r="L105" s="67"/>
      <c r="M105" s="67" t="s">
        <v>211</v>
      </c>
      <c r="N105" s="67"/>
      <c r="O105" s="67"/>
      <c r="P105" s="67"/>
      <c r="Q105" s="83" t="s">
        <v>968</v>
      </c>
      <c r="R105" s="59">
        <v>0</v>
      </c>
      <c r="S105" s="31"/>
      <c r="T105" s="31"/>
      <c r="U105" s="31"/>
      <c r="V105" s="31"/>
      <c r="W105" s="31"/>
      <c r="X105" s="31"/>
      <c r="Y105" s="31"/>
      <c r="Z105" s="31"/>
      <c r="AA105" s="31"/>
      <c r="AB105" s="31"/>
      <c r="AC105" s="31"/>
    </row>
    <row r="106" spans="1:29" s="32" customFormat="1" ht="25.5" x14ac:dyDescent="0.25">
      <c r="A106" s="88" t="s">
        <v>903</v>
      </c>
      <c r="B106" s="65" t="s">
        <v>267</v>
      </c>
      <c r="C106" s="64" t="s">
        <v>969</v>
      </c>
      <c r="D106" s="65" t="s">
        <v>6</v>
      </c>
      <c r="E106" s="66">
        <v>44293</v>
      </c>
      <c r="F106" s="64" t="s">
        <v>970</v>
      </c>
      <c r="G106" s="65"/>
      <c r="H106" s="66"/>
      <c r="I106" s="66"/>
      <c r="J106" s="66"/>
      <c r="K106" s="66">
        <v>44294</v>
      </c>
      <c r="L106" s="65" t="s">
        <v>19</v>
      </c>
      <c r="M106" s="65" t="s">
        <v>965</v>
      </c>
      <c r="N106" s="65"/>
      <c r="O106" s="65"/>
      <c r="P106" s="65"/>
      <c r="Q106" s="82" t="s">
        <v>971</v>
      </c>
      <c r="R106" s="63">
        <v>1</v>
      </c>
    </row>
    <row r="107" spans="1:29" s="32" customFormat="1" ht="25.5" x14ac:dyDescent="0.25">
      <c r="A107" s="87" t="s">
        <v>904</v>
      </c>
      <c r="B107" s="60" t="s">
        <v>267</v>
      </c>
      <c r="C107" s="60" t="s">
        <v>972</v>
      </c>
      <c r="D107" s="67" t="s">
        <v>14</v>
      </c>
      <c r="E107" s="61">
        <v>44287</v>
      </c>
      <c r="F107" s="60" t="s">
        <v>973</v>
      </c>
      <c r="G107" s="67"/>
      <c r="H107" s="61"/>
      <c r="I107" s="61"/>
      <c r="J107" s="61"/>
      <c r="K107" s="61">
        <v>44298</v>
      </c>
      <c r="L107" s="67"/>
      <c r="M107" s="67" t="s">
        <v>186</v>
      </c>
      <c r="N107" s="67"/>
      <c r="O107" s="67"/>
      <c r="P107" s="67"/>
      <c r="Q107" s="83" t="s">
        <v>974</v>
      </c>
      <c r="R107" s="59">
        <v>11</v>
      </c>
      <c r="S107" s="31"/>
      <c r="T107" s="31"/>
      <c r="U107" s="31"/>
      <c r="V107" s="31"/>
      <c r="W107" s="31"/>
      <c r="X107" s="31"/>
      <c r="Y107" s="31"/>
      <c r="Z107" s="31"/>
      <c r="AA107" s="31"/>
      <c r="AB107" s="31"/>
      <c r="AC107" s="31"/>
    </row>
    <row r="108" spans="1:29" s="32" customFormat="1" x14ac:dyDescent="0.25">
      <c r="A108" s="88" t="s">
        <v>905</v>
      </c>
      <c r="B108" s="65" t="s">
        <v>975</v>
      </c>
      <c r="C108" s="64"/>
      <c r="D108" s="65"/>
      <c r="E108" s="66"/>
      <c r="F108" s="64"/>
      <c r="G108" s="65"/>
      <c r="H108" s="66"/>
      <c r="I108" s="66"/>
      <c r="J108" s="66"/>
      <c r="K108" s="66"/>
      <c r="L108" s="66"/>
      <c r="M108" s="65"/>
      <c r="N108" s="65"/>
      <c r="O108" s="65"/>
      <c r="P108" s="65"/>
      <c r="Q108" s="82"/>
      <c r="R108" s="63">
        <v>0</v>
      </c>
    </row>
    <row r="109" spans="1:29" s="32" customFormat="1" ht="63.75" x14ac:dyDescent="0.25">
      <c r="A109" s="87" t="s">
        <v>906</v>
      </c>
      <c r="B109" s="67" t="s">
        <v>267</v>
      </c>
      <c r="C109" s="60" t="s">
        <v>976</v>
      </c>
      <c r="D109" s="67" t="s">
        <v>14</v>
      </c>
      <c r="E109" s="61">
        <v>44298</v>
      </c>
      <c r="F109" s="60" t="s">
        <v>977</v>
      </c>
      <c r="G109" s="67"/>
      <c r="H109" s="61"/>
      <c r="I109" s="61"/>
      <c r="J109" s="61"/>
      <c r="K109" s="61">
        <v>44299</v>
      </c>
      <c r="L109" s="67"/>
      <c r="M109" s="67" t="s">
        <v>211</v>
      </c>
      <c r="N109" s="67"/>
      <c r="O109" s="67"/>
      <c r="P109" s="67"/>
      <c r="Q109" s="83" t="s">
        <v>978</v>
      </c>
      <c r="R109" s="59">
        <v>1</v>
      </c>
      <c r="S109" s="31"/>
      <c r="T109" s="31"/>
      <c r="U109" s="31"/>
      <c r="V109" s="31"/>
      <c r="W109" s="31"/>
      <c r="X109" s="31"/>
      <c r="Y109" s="31"/>
      <c r="Z109" s="31"/>
      <c r="AA109" s="31"/>
      <c r="AB109" s="31"/>
      <c r="AC109" s="31"/>
    </row>
    <row r="110" spans="1:29" s="32" customFormat="1" ht="51" x14ac:dyDescent="0.25">
      <c r="A110" s="88" t="s">
        <v>907</v>
      </c>
      <c r="B110" s="65" t="s">
        <v>267</v>
      </c>
      <c r="C110" s="64" t="s">
        <v>339</v>
      </c>
      <c r="D110" s="65" t="s">
        <v>6</v>
      </c>
      <c r="E110" s="66">
        <v>44298</v>
      </c>
      <c r="F110" s="64" t="s">
        <v>979</v>
      </c>
      <c r="G110" s="65"/>
      <c r="H110" s="66"/>
      <c r="I110" s="66"/>
      <c r="J110" s="66"/>
      <c r="K110" s="66">
        <v>44298</v>
      </c>
      <c r="L110" s="65"/>
      <c r="M110" s="65" t="s">
        <v>186</v>
      </c>
      <c r="N110" s="65"/>
      <c r="O110" s="65"/>
      <c r="P110" s="65"/>
      <c r="Q110" s="82" t="s">
        <v>980</v>
      </c>
      <c r="R110" s="63">
        <v>0</v>
      </c>
    </row>
    <row r="111" spans="1:29" s="32" customFormat="1" x14ac:dyDescent="0.25">
      <c r="A111" s="87" t="s">
        <v>908</v>
      </c>
      <c r="B111" s="60" t="s">
        <v>267</v>
      </c>
      <c r="C111" s="60" t="s">
        <v>334</v>
      </c>
      <c r="D111" s="67" t="s">
        <v>14</v>
      </c>
      <c r="E111" s="61">
        <v>44299</v>
      </c>
      <c r="F111" s="60" t="s">
        <v>981</v>
      </c>
      <c r="G111" s="67"/>
      <c r="H111" s="61"/>
      <c r="I111" s="61"/>
      <c r="J111" s="61"/>
      <c r="K111" s="61">
        <v>44299</v>
      </c>
      <c r="L111" s="67"/>
      <c r="M111" s="67" t="s">
        <v>186</v>
      </c>
      <c r="N111" s="67"/>
      <c r="O111" s="67"/>
      <c r="P111" s="67"/>
      <c r="Q111" s="83" t="s">
        <v>982</v>
      </c>
      <c r="R111" s="59">
        <v>0</v>
      </c>
      <c r="S111" s="31"/>
      <c r="T111" s="31"/>
      <c r="U111" s="31"/>
      <c r="V111" s="31"/>
      <c r="W111" s="31"/>
      <c r="X111" s="31"/>
      <c r="Y111" s="31"/>
      <c r="Z111" s="31"/>
      <c r="AA111" s="31"/>
      <c r="AB111" s="31"/>
      <c r="AC111" s="31"/>
    </row>
    <row r="112" spans="1:29" s="32" customFormat="1" ht="63.75" x14ac:dyDescent="0.25">
      <c r="A112" s="88" t="s">
        <v>909</v>
      </c>
      <c r="B112" s="65" t="s">
        <v>267</v>
      </c>
      <c r="C112" s="64" t="s">
        <v>983</v>
      </c>
      <c r="D112" s="65" t="s">
        <v>6</v>
      </c>
      <c r="E112" s="66">
        <v>44299</v>
      </c>
      <c r="F112" s="64" t="s">
        <v>984</v>
      </c>
      <c r="G112" s="65" t="s">
        <v>985</v>
      </c>
      <c r="H112" s="66"/>
      <c r="I112" s="66"/>
      <c r="J112" s="66"/>
      <c r="K112" s="66">
        <v>44300</v>
      </c>
      <c r="L112" s="65"/>
      <c r="M112" s="65" t="s">
        <v>186</v>
      </c>
      <c r="N112" s="65"/>
      <c r="O112" s="65"/>
      <c r="P112" s="65"/>
      <c r="Q112" s="82" t="s">
        <v>986</v>
      </c>
      <c r="R112" s="65">
        <v>1</v>
      </c>
    </row>
    <row r="113" spans="1:18" s="32" customFormat="1" ht="63.75" x14ac:dyDescent="0.25">
      <c r="A113" s="87" t="s">
        <v>910</v>
      </c>
      <c r="B113" s="65" t="s">
        <v>267</v>
      </c>
      <c r="C113" s="64" t="s">
        <v>987</v>
      </c>
      <c r="D113" s="65" t="s">
        <v>6</v>
      </c>
      <c r="E113" s="66">
        <v>44299</v>
      </c>
      <c r="F113" s="64" t="s">
        <v>988</v>
      </c>
      <c r="G113" s="65" t="s">
        <v>985</v>
      </c>
      <c r="H113" s="66"/>
      <c r="I113" s="66"/>
      <c r="J113" s="66"/>
      <c r="K113" s="66">
        <v>44300</v>
      </c>
      <c r="L113" s="65"/>
      <c r="M113" s="65" t="s">
        <v>186</v>
      </c>
      <c r="N113" s="65"/>
      <c r="O113" s="65"/>
      <c r="P113" s="65"/>
      <c r="Q113" s="82" t="s">
        <v>989</v>
      </c>
      <c r="R113" s="65">
        <v>1</v>
      </c>
    </row>
    <row r="114" spans="1:18" s="32" customFormat="1" ht="38.25" x14ac:dyDescent="0.25">
      <c r="A114" s="88" t="s">
        <v>911</v>
      </c>
      <c r="B114" s="65" t="s">
        <v>267</v>
      </c>
      <c r="C114" s="64" t="s">
        <v>990</v>
      </c>
      <c r="D114" s="65" t="s">
        <v>7</v>
      </c>
      <c r="E114" s="66">
        <v>44299</v>
      </c>
      <c r="F114" s="64" t="s">
        <v>991</v>
      </c>
      <c r="G114" s="65"/>
      <c r="H114" s="66"/>
      <c r="I114" s="66"/>
      <c r="J114" s="66"/>
      <c r="K114" s="66">
        <v>44300</v>
      </c>
      <c r="L114" s="65"/>
      <c r="M114" s="65" t="s">
        <v>186</v>
      </c>
      <c r="N114" s="65"/>
      <c r="O114" s="65"/>
      <c r="P114" s="65"/>
      <c r="Q114" s="82" t="s">
        <v>992</v>
      </c>
      <c r="R114" s="65">
        <v>1</v>
      </c>
    </row>
    <row r="115" spans="1:18" ht="25.5" x14ac:dyDescent="0.2">
      <c r="A115" s="71" t="s">
        <v>912</v>
      </c>
      <c r="B115" s="72" t="s">
        <v>267</v>
      </c>
      <c r="C115" s="73" t="s">
        <v>993</v>
      </c>
      <c r="D115" s="72" t="s">
        <v>7</v>
      </c>
      <c r="E115" s="74">
        <v>44298</v>
      </c>
      <c r="F115" s="73" t="s">
        <v>994</v>
      </c>
      <c r="K115" s="74">
        <v>44298</v>
      </c>
      <c r="M115" s="75" t="s">
        <v>211</v>
      </c>
      <c r="Q115" s="84" t="s">
        <v>995</v>
      </c>
      <c r="R115" s="72">
        <v>0</v>
      </c>
    </row>
    <row r="116" spans="1:18" ht="25.5" x14ac:dyDescent="0.2">
      <c r="A116" s="71" t="s">
        <v>913</v>
      </c>
      <c r="B116" s="72" t="s">
        <v>267</v>
      </c>
      <c r="C116" s="73" t="s">
        <v>701</v>
      </c>
      <c r="D116" s="72" t="s">
        <v>8</v>
      </c>
      <c r="E116" s="74">
        <v>44294</v>
      </c>
      <c r="F116" s="73" t="s">
        <v>996</v>
      </c>
      <c r="K116" s="74">
        <v>44301</v>
      </c>
      <c r="M116" s="75" t="s">
        <v>186</v>
      </c>
      <c r="Q116" s="84" t="s">
        <v>997</v>
      </c>
      <c r="R116" s="72">
        <v>7</v>
      </c>
    </row>
    <row r="117" spans="1:18" ht="25.5" x14ac:dyDescent="0.2">
      <c r="A117" s="71" t="s">
        <v>914</v>
      </c>
      <c r="B117" s="72" t="s">
        <v>267</v>
      </c>
      <c r="C117" s="73" t="s">
        <v>339</v>
      </c>
      <c r="D117" s="72" t="s">
        <v>7</v>
      </c>
      <c r="E117" s="74">
        <v>44305</v>
      </c>
      <c r="F117" s="73" t="s">
        <v>998</v>
      </c>
      <c r="K117" s="74">
        <v>44309</v>
      </c>
      <c r="M117" s="75" t="s">
        <v>186</v>
      </c>
      <c r="Q117" s="84" t="s">
        <v>999</v>
      </c>
      <c r="R117" s="72">
        <v>4</v>
      </c>
    </row>
    <row r="118" spans="1:18" ht="25.5" x14ac:dyDescent="0.2">
      <c r="A118" s="71" t="s">
        <v>1000</v>
      </c>
      <c r="B118" s="72" t="s">
        <v>267</v>
      </c>
      <c r="C118" s="73" t="s">
        <v>1001</v>
      </c>
      <c r="D118" s="72" t="s">
        <v>14</v>
      </c>
      <c r="E118" s="74">
        <v>44307</v>
      </c>
      <c r="F118" s="73" t="s">
        <v>1002</v>
      </c>
      <c r="K118" s="74">
        <v>44307</v>
      </c>
      <c r="M118" s="75" t="s">
        <v>211</v>
      </c>
      <c r="Q118" s="84" t="s">
        <v>1003</v>
      </c>
      <c r="R118" s="72">
        <v>0</v>
      </c>
    </row>
    <row r="119" spans="1:18" ht="25.5" x14ac:dyDescent="0.2">
      <c r="A119" s="71" t="s">
        <v>1004</v>
      </c>
      <c r="B119" s="72" t="s">
        <v>267</v>
      </c>
      <c r="C119" s="73" t="s">
        <v>1005</v>
      </c>
      <c r="D119" s="72" t="s">
        <v>14</v>
      </c>
      <c r="E119" s="74">
        <v>44308</v>
      </c>
      <c r="F119" s="73" t="s">
        <v>1006</v>
      </c>
      <c r="K119" s="74">
        <v>44307</v>
      </c>
      <c r="M119" s="75" t="s">
        <v>211</v>
      </c>
      <c r="Q119" s="84" t="s">
        <v>1007</v>
      </c>
      <c r="R119" s="72">
        <v>0</v>
      </c>
    </row>
    <row r="120" spans="1:18" ht="51" x14ac:dyDescent="0.2">
      <c r="A120" s="71" t="s">
        <v>1008</v>
      </c>
      <c r="B120" s="72" t="s">
        <v>267</v>
      </c>
      <c r="C120" s="73" t="s">
        <v>525</v>
      </c>
      <c r="D120" s="72" t="s">
        <v>6</v>
      </c>
      <c r="E120" s="74">
        <v>44308</v>
      </c>
      <c r="F120" s="73" t="s">
        <v>1009</v>
      </c>
      <c r="K120" s="74">
        <v>44312</v>
      </c>
      <c r="M120" s="75" t="s">
        <v>214</v>
      </c>
      <c r="Q120" s="84" t="s">
        <v>1010</v>
      </c>
      <c r="R120" s="72">
        <v>4</v>
      </c>
    </row>
    <row r="121" spans="1:18" ht="25.5" x14ac:dyDescent="0.2">
      <c r="A121" s="71" t="s">
        <v>1011</v>
      </c>
      <c r="B121" s="72" t="s">
        <v>267</v>
      </c>
      <c r="C121" s="73" t="s">
        <v>1012</v>
      </c>
      <c r="E121" s="74">
        <v>44312</v>
      </c>
      <c r="F121" s="73" t="s">
        <v>1013</v>
      </c>
      <c r="K121" s="74">
        <v>44312</v>
      </c>
      <c r="M121" s="75" t="s">
        <v>214</v>
      </c>
      <c r="Q121" s="84" t="s">
        <v>1014</v>
      </c>
      <c r="R121" s="72">
        <v>0</v>
      </c>
    </row>
    <row r="122" spans="1:18" ht="25.5" x14ac:dyDescent="0.2">
      <c r="A122" s="71" t="s">
        <v>1015</v>
      </c>
      <c r="B122" s="72" t="s">
        <v>267</v>
      </c>
      <c r="C122" s="73" t="s">
        <v>1016</v>
      </c>
      <c r="D122" s="72" t="s">
        <v>14</v>
      </c>
      <c r="E122" s="74">
        <v>44314</v>
      </c>
      <c r="F122" s="73" t="s">
        <v>1017</v>
      </c>
      <c r="K122" s="74">
        <v>44314</v>
      </c>
      <c r="M122" s="75" t="s">
        <v>186</v>
      </c>
      <c r="Q122" s="84" t="s">
        <v>1018</v>
      </c>
      <c r="R122" s="72">
        <v>0</v>
      </c>
    </row>
    <row r="123" spans="1:18" x14ac:dyDescent="0.2">
      <c r="A123" s="71" t="s">
        <v>1019</v>
      </c>
      <c r="B123" s="72" t="s">
        <v>267</v>
      </c>
      <c r="C123" s="73" t="s">
        <v>1020</v>
      </c>
      <c r="E123" s="74">
        <v>44315</v>
      </c>
      <c r="F123" s="73" t="s">
        <v>1021</v>
      </c>
      <c r="K123" s="74">
        <v>44315</v>
      </c>
      <c r="L123" s="72" t="s">
        <v>18</v>
      </c>
      <c r="M123" s="75" t="s">
        <v>214</v>
      </c>
      <c r="Q123" s="84" t="s">
        <v>1022</v>
      </c>
      <c r="R123" s="72">
        <v>0</v>
      </c>
    </row>
    <row r="124" spans="1:18" ht="25.5" x14ac:dyDescent="0.2">
      <c r="A124" s="71" t="s">
        <v>1023</v>
      </c>
      <c r="B124" s="72" t="s">
        <v>267</v>
      </c>
      <c r="C124" s="73" t="s">
        <v>1012</v>
      </c>
      <c r="E124" s="74">
        <v>44319</v>
      </c>
      <c r="F124" s="73" t="s">
        <v>1024</v>
      </c>
      <c r="K124" s="74">
        <v>44319</v>
      </c>
      <c r="M124" s="75" t="s">
        <v>214</v>
      </c>
      <c r="Q124" s="84" t="s">
        <v>1025</v>
      </c>
      <c r="R124" s="72">
        <v>0</v>
      </c>
    </row>
    <row r="125" spans="1:18" ht="38.25" x14ac:dyDescent="0.2">
      <c r="A125" s="71" t="s">
        <v>1026</v>
      </c>
      <c r="B125" s="72" t="s">
        <v>267</v>
      </c>
      <c r="C125" s="73" t="s">
        <v>704</v>
      </c>
      <c r="D125" s="72" t="s">
        <v>6</v>
      </c>
      <c r="E125" s="74">
        <v>44321</v>
      </c>
      <c r="F125" s="73" t="s">
        <v>1027</v>
      </c>
      <c r="K125" s="74">
        <v>44321</v>
      </c>
      <c r="Q125" s="84" t="s">
        <v>1028</v>
      </c>
      <c r="R125" s="72">
        <v>0</v>
      </c>
    </row>
    <row r="126" spans="1:18" ht="25.5" x14ac:dyDescent="0.2">
      <c r="A126" s="71" t="s">
        <v>1029</v>
      </c>
      <c r="B126" s="72" t="s">
        <v>267</v>
      </c>
      <c r="C126" s="73" t="s">
        <v>700</v>
      </c>
      <c r="D126" s="72" t="s">
        <v>6</v>
      </c>
      <c r="E126" s="74">
        <v>44322</v>
      </c>
      <c r="F126" s="73" t="s">
        <v>1030</v>
      </c>
      <c r="K126" s="74">
        <v>44322</v>
      </c>
      <c r="M126" s="75" t="s">
        <v>214</v>
      </c>
      <c r="Q126" s="84" t="s">
        <v>1031</v>
      </c>
      <c r="R126" s="72">
        <v>0</v>
      </c>
    </row>
    <row r="127" spans="1:18" ht="25.5" x14ac:dyDescent="0.2">
      <c r="A127" s="71" t="s">
        <v>1032</v>
      </c>
      <c r="B127" s="72" t="s">
        <v>267</v>
      </c>
      <c r="C127" s="73" t="s">
        <v>1012</v>
      </c>
      <c r="D127" s="72" t="s">
        <v>14</v>
      </c>
      <c r="E127" s="74">
        <v>44326</v>
      </c>
      <c r="F127" s="73" t="s">
        <v>1033</v>
      </c>
      <c r="K127" s="74">
        <v>44328</v>
      </c>
      <c r="M127" s="75" t="s">
        <v>214</v>
      </c>
      <c r="Q127" s="84" t="s">
        <v>1034</v>
      </c>
      <c r="R127" s="72">
        <v>0</v>
      </c>
    </row>
    <row r="128" spans="1:18" ht="51" x14ac:dyDescent="0.2">
      <c r="A128" s="71" t="s">
        <v>1035</v>
      </c>
      <c r="B128" s="72" t="s">
        <v>267</v>
      </c>
      <c r="C128" s="73" t="s">
        <v>1036</v>
      </c>
      <c r="D128" s="72" t="s">
        <v>6</v>
      </c>
      <c r="E128" s="74">
        <v>44328</v>
      </c>
      <c r="F128" s="73" t="s">
        <v>1037</v>
      </c>
      <c r="K128" s="74">
        <v>44329</v>
      </c>
      <c r="M128" s="75" t="s">
        <v>214</v>
      </c>
      <c r="Q128" s="84" t="s">
        <v>1038</v>
      </c>
      <c r="R128" s="72">
        <v>0</v>
      </c>
    </row>
    <row r="129" spans="1:18" ht="38.25" x14ac:dyDescent="0.2">
      <c r="A129" s="71" t="s">
        <v>1039</v>
      </c>
      <c r="B129" s="72" t="s">
        <v>267</v>
      </c>
      <c r="C129" s="73" t="s">
        <v>704</v>
      </c>
      <c r="D129" s="72" t="s">
        <v>6</v>
      </c>
      <c r="E129" s="74">
        <v>44329</v>
      </c>
      <c r="F129" s="73" t="s">
        <v>1040</v>
      </c>
      <c r="K129" s="74">
        <v>44330</v>
      </c>
      <c r="M129" s="75" t="s">
        <v>186</v>
      </c>
      <c r="Q129" s="84" t="s">
        <v>1041</v>
      </c>
      <c r="R129" s="72">
        <v>0</v>
      </c>
    </row>
    <row r="130" spans="1:18" ht="89.25" x14ac:dyDescent="0.2">
      <c r="A130" s="71" t="s">
        <v>1042</v>
      </c>
      <c r="B130" s="72" t="s">
        <v>267</v>
      </c>
      <c r="C130" s="73" t="s">
        <v>1043</v>
      </c>
      <c r="D130" s="72" t="s">
        <v>5</v>
      </c>
      <c r="E130" s="74">
        <v>44330</v>
      </c>
      <c r="F130" s="73" t="s">
        <v>1044</v>
      </c>
      <c r="K130" s="74">
        <v>44333</v>
      </c>
      <c r="M130" s="75" t="s">
        <v>214</v>
      </c>
      <c r="Q130" s="84" t="s">
        <v>1073</v>
      </c>
      <c r="R130" s="72">
        <v>0</v>
      </c>
    </row>
    <row r="131" spans="1:18" ht="76.5" x14ac:dyDescent="0.2">
      <c r="A131" s="71" t="s">
        <v>1045</v>
      </c>
      <c r="B131" s="72" t="s">
        <v>267</v>
      </c>
      <c r="C131" s="73" t="s">
        <v>700</v>
      </c>
      <c r="D131" s="72" t="s">
        <v>6</v>
      </c>
      <c r="E131" s="74">
        <v>44333</v>
      </c>
      <c r="F131" s="73" t="s">
        <v>1046</v>
      </c>
      <c r="K131" s="74">
        <v>44335</v>
      </c>
      <c r="M131" s="75" t="s">
        <v>186</v>
      </c>
      <c r="Q131" s="84" t="s">
        <v>1061</v>
      </c>
      <c r="R131" s="72">
        <v>0</v>
      </c>
    </row>
    <row r="132" spans="1:18" ht="89.25" x14ac:dyDescent="0.2">
      <c r="A132" s="71" t="s">
        <v>1047</v>
      </c>
      <c r="B132" s="72" t="s">
        <v>267</v>
      </c>
      <c r="C132" s="73" t="s">
        <v>1048</v>
      </c>
      <c r="D132" s="72" t="s">
        <v>6</v>
      </c>
      <c r="E132" s="74">
        <v>44334</v>
      </c>
      <c r="F132" s="73" t="s">
        <v>1049</v>
      </c>
      <c r="K132" s="74">
        <v>44336</v>
      </c>
      <c r="M132" s="75" t="s">
        <v>186</v>
      </c>
      <c r="Q132" s="84" t="s">
        <v>1056</v>
      </c>
      <c r="R132" s="72">
        <v>1</v>
      </c>
    </row>
    <row r="133" spans="1:18" ht="25.5" x14ac:dyDescent="0.2">
      <c r="A133" s="71" t="s">
        <v>1050</v>
      </c>
      <c r="B133" s="72" t="s">
        <v>267</v>
      </c>
      <c r="C133" s="73" t="s">
        <v>1012</v>
      </c>
      <c r="D133" s="72" t="s">
        <v>6</v>
      </c>
      <c r="E133" s="74">
        <v>44334</v>
      </c>
      <c r="F133" s="73" t="s">
        <v>1051</v>
      </c>
      <c r="K133" s="74">
        <v>44334</v>
      </c>
      <c r="M133" s="75" t="s">
        <v>214</v>
      </c>
      <c r="Q133" s="84" t="s">
        <v>1052</v>
      </c>
      <c r="R133" s="72">
        <v>0</v>
      </c>
    </row>
    <row r="134" spans="1:18" ht="38.25" x14ac:dyDescent="0.2">
      <c r="A134" s="71" t="s">
        <v>1054</v>
      </c>
      <c r="B134" s="72" t="s">
        <v>267</v>
      </c>
      <c r="C134" s="73" t="s">
        <v>1053</v>
      </c>
      <c r="D134" s="72" t="s">
        <v>6</v>
      </c>
      <c r="E134" s="74">
        <v>44335</v>
      </c>
      <c r="F134" s="73" t="s">
        <v>1055</v>
      </c>
      <c r="K134" s="74">
        <v>44336</v>
      </c>
      <c r="M134" s="75" t="s">
        <v>186</v>
      </c>
      <c r="Q134" s="84" t="s">
        <v>1057</v>
      </c>
    </row>
    <row r="135" spans="1:18" ht="38.25" x14ac:dyDescent="0.2">
      <c r="A135" s="71" t="s">
        <v>1058</v>
      </c>
      <c r="B135" s="72" t="s">
        <v>267</v>
      </c>
      <c r="C135" s="73" t="s">
        <v>704</v>
      </c>
      <c r="D135" s="72" t="s">
        <v>6</v>
      </c>
      <c r="E135" s="74">
        <v>44337</v>
      </c>
      <c r="F135" s="73" t="s">
        <v>1059</v>
      </c>
      <c r="K135" s="74">
        <v>44337</v>
      </c>
      <c r="M135" s="75" t="s">
        <v>186</v>
      </c>
      <c r="Q135" s="84" t="s">
        <v>1060</v>
      </c>
    </row>
    <row r="136" spans="1:18" ht="25.5" x14ac:dyDescent="0.2">
      <c r="A136" s="71" t="s">
        <v>1062</v>
      </c>
      <c r="B136" s="72" t="s">
        <v>267</v>
      </c>
      <c r="C136" s="73" t="s">
        <v>1012</v>
      </c>
      <c r="D136" s="72" t="s">
        <v>6</v>
      </c>
      <c r="E136" s="74">
        <v>44341</v>
      </c>
      <c r="F136" s="73" t="s">
        <v>1063</v>
      </c>
      <c r="K136" s="74">
        <v>44341</v>
      </c>
      <c r="M136" s="75" t="s">
        <v>214</v>
      </c>
      <c r="Q136" s="84" t="s">
        <v>1064</v>
      </c>
    </row>
    <row r="137" spans="1:18" ht="51" x14ac:dyDescent="0.2">
      <c r="A137" s="71" t="s">
        <v>1065</v>
      </c>
      <c r="B137" s="72" t="s">
        <v>267</v>
      </c>
      <c r="C137" s="73" t="s">
        <v>1067</v>
      </c>
      <c r="D137" s="72" t="s">
        <v>6</v>
      </c>
      <c r="E137" s="74">
        <v>44341</v>
      </c>
      <c r="F137" s="73" t="s">
        <v>1066</v>
      </c>
      <c r="K137" s="74">
        <v>44341</v>
      </c>
      <c r="M137" s="75" t="s">
        <v>214</v>
      </c>
      <c r="Q137" s="84" t="s">
        <v>1068</v>
      </c>
    </row>
    <row r="138" spans="1:18" ht="306" x14ac:dyDescent="0.2">
      <c r="A138" s="71" t="s">
        <v>1078</v>
      </c>
      <c r="B138" s="72" t="s">
        <v>254</v>
      </c>
      <c r="C138" s="73" t="s">
        <v>708</v>
      </c>
      <c r="D138" s="72" t="s">
        <v>7</v>
      </c>
      <c r="E138" s="74">
        <v>44342</v>
      </c>
      <c r="F138" s="73" t="s">
        <v>1083</v>
      </c>
      <c r="K138" s="74">
        <v>44350</v>
      </c>
      <c r="M138" s="75" t="s">
        <v>186</v>
      </c>
      <c r="Q138" s="84" t="s">
        <v>1197</v>
      </c>
    </row>
    <row r="139" spans="1:18" ht="51" x14ac:dyDescent="0.2">
      <c r="A139" s="71" t="s">
        <v>1079</v>
      </c>
      <c r="B139" s="72" t="s">
        <v>267</v>
      </c>
      <c r="C139" s="73" t="s">
        <v>1080</v>
      </c>
      <c r="D139" s="72" t="s">
        <v>7</v>
      </c>
      <c r="E139" s="74">
        <v>44343</v>
      </c>
      <c r="F139" s="73" t="s">
        <v>1081</v>
      </c>
      <c r="K139" s="74">
        <v>44343</v>
      </c>
      <c r="M139" s="75" t="s">
        <v>186</v>
      </c>
      <c r="Q139" s="84" t="s">
        <v>1082</v>
      </c>
    </row>
    <row r="140" spans="1:18" ht="38.25" x14ac:dyDescent="0.2">
      <c r="A140" s="71" t="s">
        <v>1098</v>
      </c>
      <c r="B140" s="72" t="s">
        <v>267</v>
      </c>
      <c r="C140" s="73" t="s">
        <v>566</v>
      </c>
      <c r="D140" s="72" t="s">
        <v>6</v>
      </c>
      <c r="E140" s="74">
        <v>44344</v>
      </c>
      <c r="F140" s="73" t="s">
        <v>1099</v>
      </c>
      <c r="K140" s="74">
        <v>44344</v>
      </c>
      <c r="M140" s="75" t="s">
        <v>214</v>
      </c>
      <c r="Q140" s="84" t="s">
        <v>1115</v>
      </c>
    </row>
    <row r="141" spans="1:18" ht="51" x14ac:dyDescent="0.2">
      <c r="A141" s="71" t="s">
        <v>1104</v>
      </c>
      <c r="B141" s="72" t="s">
        <v>267</v>
      </c>
      <c r="C141" s="73" t="s">
        <v>1105</v>
      </c>
      <c r="D141" s="72" t="s">
        <v>7</v>
      </c>
      <c r="E141" s="74">
        <v>44344</v>
      </c>
      <c r="F141" s="73" t="s">
        <v>1106</v>
      </c>
      <c r="K141" s="74">
        <v>44347</v>
      </c>
      <c r="M141" s="75" t="s">
        <v>214</v>
      </c>
      <c r="Q141" s="84" t="s">
        <v>1114</v>
      </c>
    </row>
    <row r="142" spans="1:18" x14ac:dyDescent="0.2">
      <c r="A142" s="71" t="s">
        <v>1107</v>
      </c>
      <c r="B142" s="72" t="s">
        <v>267</v>
      </c>
      <c r="C142" s="73" t="s">
        <v>1108</v>
      </c>
      <c r="D142" s="72" t="s">
        <v>14</v>
      </c>
      <c r="E142" s="74">
        <v>44344</v>
      </c>
      <c r="F142" s="73" t="s">
        <v>1109</v>
      </c>
      <c r="K142" s="74">
        <v>44347</v>
      </c>
      <c r="M142" s="75" t="s">
        <v>211</v>
      </c>
      <c r="Q142" s="84" t="s">
        <v>1110</v>
      </c>
    </row>
    <row r="143" spans="1:18" ht="25.5" x14ac:dyDescent="0.2">
      <c r="A143" s="71" t="s">
        <v>1111</v>
      </c>
      <c r="B143" s="72" t="s">
        <v>267</v>
      </c>
      <c r="C143" s="73" t="s">
        <v>1012</v>
      </c>
      <c r="D143" s="72" t="s">
        <v>6</v>
      </c>
      <c r="E143" s="74">
        <v>44347</v>
      </c>
      <c r="F143" s="73" t="s">
        <v>1112</v>
      </c>
      <c r="K143" s="74">
        <v>44347</v>
      </c>
      <c r="M143" s="75" t="s">
        <v>214</v>
      </c>
      <c r="Q143" s="84" t="s">
        <v>1113</v>
      </c>
    </row>
    <row r="144" spans="1:18" ht="63.75" x14ac:dyDescent="0.2">
      <c r="A144" s="71" t="s">
        <v>1116</v>
      </c>
      <c r="B144" s="72" t="s">
        <v>254</v>
      </c>
      <c r="C144" s="73" t="s">
        <v>1117</v>
      </c>
      <c r="D144" s="72" t="s">
        <v>14</v>
      </c>
      <c r="E144" s="74">
        <v>44348</v>
      </c>
      <c r="F144" s="73" t="s">
        <v>1118</v>
      </c>
      <c r="K144" s="74">
        <v>44350</v>
      </c>
      <c r="M144" s="75" t="s">
        <v>186</v>
      </c>
      <c r="Q144" s="84" t="s">
        <v>1122</v>
      </c>
    </row>
    <row r="145" spans="1:17" ht="25.5" x14ac:dyDescent="0.2">
      <c r="A145" s="71" t="s">
        <v>1123</v>
      </c>
      <c r="B145" s="72" t="s">
        <v>267</v>
      </c>
      <c r="C145" s="73" t="s">
        <v>1124</v>
      </c>
      <c r="D145" s="72" t="s">
        <v>14</v>
      </c>
      <c r="E145" s="74">
        <v>44354</v>
      </c>
      <c r="F145" s="73" t="s">
        <v>1125</v>
      </c>
      <c r="K145" s="74">
        <v>44354</v>
      </c>
      <c r="M145" s="75" t="s">
        <v>214</v>
      </c>
      <c r="Q145" s="84" t="s">
        <v>1126</v>
      </c>
    </row>
    <row r="146" spans="1:17" ht="25.5" x14ac:dyDescent="0.2">
      <c r="A146" s="71" t="s">
        <v>1127</v>
      </c>
      <c r="B146" s="72" t="s">
        <v>267</v>
      </c>
      <c r="C146" s="73" t="s">
        <v>1012</v>
      </c>
      <c r="D146" s="72" t="s">
        <v>6</v>
      </c>
      <c r="E146" s="74">
        <v>44354</v>
      </c>
      <c r="F146" s="73" t="s">
        <v>1128</v>
      </c>
      <c r="K146" s="74">
        <v>44350</v>
      </c>
      <c r="M146" s="75" t="s">
        <v>214</v>
      </c>
      <c r="Q146" s="84" t="s">
        <v>1129</v>
      </c>
    </row>
    <row r="147" spans="1:17" ht="51" x14ac:dyDescent="0.2">
      <c r="A147" s="71" t="s">
        <v>1140</v>
      </c>
      <c r="B147" s="72" t="s">
        <v>267</v>
      </c>
      <c r="C147" s="73" t="s">
        <v>339</v>
      </c>
      <c r="D147" s="72" t="s">
        <v>1141</v>
      </c>
      <c r="E147" s="74">
        <v>44358</v>
      </c>
      <c r="F147" s="73" t="s">
        <v>1142</v>
      </c>
      <c r="K147" s="74">
        <v>44358</v>
      </c>
      <c r="M147" s="75" t="s">
        <v>214</v>
      </c>
      <c r="Q147" s="84" t="s">
        <v>1143</v>
      </c>
    </row>
    <row r="148" spans="1:17" ht="25.5" x14ac:dyDescent="0.2">
      <c r="A148" s="71" t="s">
        <v>1153</v>
      </c>
      <c r="B148" s="72" t="s">
        <v>267</v>
      </c>
      <c r="C148" s="73" t="s">
        <v>1012</v>
      </c>
      <c r="D148" s="72" t="s">
        <v>6</v>
      </c>
      <c r="E148" s="74">
        <v>44361</v>
      </c>
      <c r="F148" s="73" t="s">
        <v>1154</v>
      </c>
      <c r="K148" s="74">
        <v>44362</v>
      </c>
      <c r="M148" s="75" t="s">
        <v>214</v>
      </c>
      <c r="Q148" s="84" t="s">
        <v>1155</v>
      </c>
    </row>
    <row r="149" spans="1:17" ht="51" x14ac:dyDescent="0.2">
      <c r="A149" s="71" t="s">
        <v>1162</v>
      </c>
      <c r="B149" s="76" t="s">
        <v>267</v>
      </c>
      <c r="C149" s="77" t="s">
        <v>976</v>
      </c>
      <c r="D149" s="76" t="s">
        <v>14</v>
      </c>
      <c r="E149" s="78">
        <v>44362</v>
      </c>
      <c r="F149" s="77" t="s">
        <v>977</v>
      </c>
      <c r="G149" s="76"/>
      <c r="H149" s="78"/>
      <c r="I149" s="78"/>
      <c r="J149" s="78"/>
      <c r="K149" s="78">
        <v>44362</v>
      </c>
      <c r="L149" s="67"/>
      <c r="M149" s="67" t="s">
        <v>211</v>
      </c>
      <c r="N149" s="67"/>
      <c r="O149" s="67"/>
      <c r="P149" s="67"/>
      <c r="Q149" s="83" t="s">
        <v>1163</v>
      </c>
    </row>
    <row r="150" spans="1:17" ht="25.5" x14ac:dyDescent="0.2">
      <c r="A150" s="71" t="s">
        <v>1164</v>
      </c>
      <c r="C150" s="73" t="s">
        <v>1165</v>
      </c>
      <c r="D150" s="72" t="s">
        <v>14</v>
      </c>
      <c r="E150" s="74">
        <v>44362</v>
      </c>
      <c r="F150" s="73" t="s">
        <v>1166</v>
      </c>
      <c r="M150" s="75" t="s">
        <v>211</v>
      </c>
      <c r="Q150" s="79" t="s">
        <v>1167</v>
      </c>
    </row>
    <row r="151" spans="1:17" ht="25.5" x14ac:dyDescent="0.2">
      <c r="A151" s="71" t="s">
        <v>1172</v>
      </c>
      <c r="B151" s="72" t="s">
        <v>267</v>
      </c>
      <c r="C151" s="73" t="s">
        <v>1012</v>
      </c>
      <c r="D151" s="72" t="s">
        <v>6</v>
      </c>
      <c r="E151" s="74">
        <v>44368</v>
      </c>
      <c r="F151" s="73" t="s">
        <v>1173</v>
      </c>
      <c r="K151" s="74">
        <v>44370</v>
      </c>
      <c r="Q151" s="85" t="s">
        <v>1175</v>
      </c>
    </row>
    <row r="152" spans="1:17" ht="63.75" x14ac:dyDescent="0.2">
      <c r="A152" s="71" t="s">
        <v>1182</v>
      </c>
      <c r="C152" s="73" t="s">
        <v>423</v>
      </c>
      <c r="D152" s="72" t="s">
        <v>7</v>
      </c>
      <c r="E152" s="74">
        <v>44370</v>
      </c>
      <c r="F152" s="73" t="s">
        <v>1187</v>
      </c>
      <c r="M152" s="75" t="s">
        <v>211</v>
      </c>
      <c r="Q152" s="79" t="s">
        <v>1188</v>
      </c>
    </row>
    <row r="153" spans="1:17" ht="25.5" x14ac:dyDescent="0.2">
      <c r="A153" s="71" t="s">
        <v>1183</v>
      </c>
      <c r="B153" s="75" t="s">
        <v>267</v>
      </c>
      <c r="C153" s="73" t="s">
        <v>1184</v>
      </c>
      <c r="D153" s="72" t="s">
        <v>4</v>
      </c>
      <c r="E153" s="74">
        <v>44370</v>
      </c>
      <c r="F153" s="73" t="s">
        <v>1185</v>
      </c>
      <c r="G153" s="72" t="s">
        <v>985</v>
      </c>
      <c r="K153" s="74">
        <v>44371</v>
      </c>
      <c r="M153" s="75" t="s">
        <v>186</v>
      </c>
      <c r="Q153" s="79" t="s">
        <v>1186</v>
      </c>
    </row>
    <row r="154" spans="1:17" ht="38.25" x14ac:dyDescent="0.2">
      <c r="A154" s="71" t="s">
        <v>1189</v>
      </c>
      <c r="B154" s="75" t="s">
        <v>267</v>
      </c>
      <c r="C154" s="73" t="s">
        <v>1190</v>
      </c>
      <c r="D154" s="72" t="s">
        <v>7</v>
      </c>
      <c r="E154" s="74">
        <v>44375</v>
      </c>
      <c r="F154" s="73" t="s">
        <v>1191</v>
      </c>
      <c r="G154" s="72" t="s">
        <v>985</v>
      </c>
      <c r="K154" s="74">
        <v>44375</v>
      </c>
      <c r="M154" s="75" t="s">
        <v>186</v>
      </c>
      <c r="Q154" s="79" t="s">
        <v>1192</v>
      </c>
    </row>
    <row r="155" spans="1:17" ht="51" x14ac:dyDescent="0.2">
      <c r="A155" s="71" t="s">
        <v>1193</v>
      </c>
      <c r="B155" s="75" t="s">
        <v>267</v>
      </c>
      <c r="C155" s="73" t="s">
        <v>697</v>
      </c>
      <c r="D155" s="72" t="s">
        <v>6</v>
      </c>
      <c r="E155" s="74">
        <v>44375</v>
      </c>
      <c r="F155" s="73" t="s">
        <v>1194</v>
      </c>
      <c r="K155" s="74">
        <v>44375</v>
      </c>
      <c r="M155" s="75" t="s">
        <v>214</v>
      </c>
      <c r="Q155" s="84" t="s">
        <v>1195</v>
      </c>
    </row>
    <row r="156" spans="1:17" ht="51" x14ac:dyDescent="0.2">
      <c r="A156" s="71" t="s">
        <v>1198</v>
      </c>
      <c r="B156" s="75" t="s">
        <v>267</v>
      </c>
      <c r="C156" s="73" t="s">
        <v>1199</v>
      </c>
      <c r="D156" s="72" t="s">
        <v>8</v>
      </c>
      <c r="E156" s="74">
        <v>44377</v>
      </c>
      <c r="F156" s="73" t="s">
        <v>1200</v>
      </c>
      <c r="M156" s="75" t="s">
        <v>186</v>
      </c>
      <c r="Q156" s="84" t="s">
        <v>1201</v>
      </c>
    </row>
  </sheetData>
  <sheetProtection formatCells="0" autoFilter="0"/>
  <autoFilter ref="A2:R149" xr:uid="{00000000-0009-0000-0000-000001000000}"/>
  <mergeCells count="1">
    <mergeCell ref="A1:Q1"/>
  </mergeCells>
  <conditionalFormatting sqref="A2 C2:Q2 S2:XFD2 A3:XFD11 A13:XFD43 A12:E12 G12:XFD12 A45:XFD72 A44:B44 D44:XFD44 A73:B73 D73:XFD73 A155:XFD1048576 R150:XFD154 A74:XFD149 A150:P154">
    <cfRule type="expression" dxfId="9" priority="20">
      <formula>$M2="REGC"</formula>
    </cfRule>
    <cfRule type="expression" dxfId="8" priority="21">
      <formula>$M2="NOMC"</formula>
    </cfRule>
    <cfRule type="expression" dxfId="7" priority="22">
      <formula>$M2="Answered"</formula>
    </cfRule>
    <cfRule type="expression" dxfId="6" priority="23">
      <formula>$M2="Enforcement"</formula>
    </cfRule>
  </conditionalFormatting>
  <conditionalFormatting sqref="B3:B1048576">
    <cfRule type="cellIs" dxfId="5" priority="5" operator="between">
      <formula>30</formula>
      <formula>1100</formula>
    </cfRule>
    <cfRule type="cellIs" dxfId="4" priority="6" operator="between">
      <formula>20</formula>
      <formula>29</formula>
    </cfRule>
    <cfRule type="cellIs" dxfId="3" priority="7" operator="between">
      <formula>10</formula>
      <formula>19</formula>
    </cfRule>
  </conditionalFormatting>
  <conditionalFormatting sqref="R3:R1048576">
    <cfRule type="cellIs" dxfId="2" priority="3" operator="greaterThanOrEqual">
      <formula>90</formula>
    </cfRule>
  </conditionalFormatting>
  <conditionalFormatting sqref="R3:R1048576">
    <cfRule type="cellIs" dxfId="1" priority="1" operator="between">
      <formula>31</formula>
      <formula>60</formula>
    </cfRule>
    <cfRule type="cellIs" dxfId="0" priority="2" operator="between">
      <formula>61</formula>
      <formula>89</formula>
    </cfRule>
  </conditionalFormatting>
  <dataValidations count="14">
    <dataValidation type="date" allowBlank="1" showInputMessage="1" showErrorMessage="1" sqref="K4:K1048576" xr:uid="{00000000-0002-0000-0100-000000000000}">
      <formula1>1</formula1>
      <formula2>73415</formula2>
    </dataValidation>
    <dataValidation allowBlank="1" showInputMessage="1" showErrorMessage="1" promptTitle="Received From" prompt="Name of inspector from whom the question was received" sqref="C2" xr:uid="{00000000-0002-0000-0100-000001000000}"/>
    <dataValidation allowBlank="1" showInputMessage="1" showErrorMessage="1" promptTitle="Region" prompt="Select from drop-down menu" sqref="D2" xr:uid="{00000000-0002-0000-0100-000002000000}"/>
    <dataValidation allowBlank="1" showInputMessage="1" showErrorMessage="1" promptTitle="Date Received" prompt="Date question was received in the inbox" sqref="E2" xr:uid="{00000000-0002-0000-0100-000003000000}"/>
    <dataValidation allowBlank="1" showInputMessage="1" showErrorMessage="1" promptTitle="Topic" prompt="Use key words to describe question" sqref="F2" xr:uid="{00000000-0002-0000-0100-000004000000}"/>
    <dataValidation allowBlank="1" showInputMessage="1" showErrorMessage="1" promptTitle="Inspector assigned" prompt="Select from drop-down menu in alphabetical order. This person will be responsible for ensuring the question is answered in a timely manner." sqref="G2" xr:uid="{00000000-0002-0000-0100-000005000000}"/>
    <dataValidation allowBlank="1" showInputMessage="1" showErrorMessage="1" promptTitle="Date Sent to Enforcement Team" prompt="Date question was discussed at the Enforcement Team Meeting" sqref="H2" xr:uid="{00000000-0002-0000-0100-000006000000}"/>
    <dataValidation allowBlank="1" showInputMessage="1" showErrorMessage="1" promptTitle="Date Sent To NOMC" prompt="Date question was sent to the NOMC Coordinator" sqref="I2" xr:uid="{00000000-0002-0000-0100-000007000000}"/>
    <dataValidation allowBlank="1" showInputMessage="1" showErrorMessage="1" promptTitle="Date Sent To REGC" prompt="Date question was discussed at REGC" sqref="J2" xr:uid="{00000000-0002-0000-0100-000008000000}"/>
    <dataValidation allowBlank="1" showInputMessage="1" showErrorMessage="1" promptTitle="Date Answered / Forwarded" prompt="Date question was answered / forwarded to other group for action." sqref="K2" xr:uid="{00000000-0002-0000-0100-000009000000}"/>
    <dataValidation allowBlank="1" showInputMessage="1" showErrorMessage="1" promptTitle="References to TDG Act" prompt="Include sections of the TDGA relevant to the question" sqref="N2" xr:uid="{00000000-0002-0000-0100-00000A000000}"/>
    <dataValidation allowBlank="1" showInputMessage="1" showErrorMessage="1" promptTitle="References to the TDG Regulation" prompt="Include sections of the TDGR relevant to the question" sqref="O2" xr:uid="{00000000-0002-0000-0100-00000B000000}"/>
    <dataValidation allowBlank="1" showInputMessage="1" showErrorMessage="1" promptTitle="References to Standards " prompt="Include sections of the ICAO TI / IMDG Code / 49 CFR / Standards relevant to the question" sqref="P2" xr:uid="{00000000-0002-0000-0100-00000C000000}"/>
    <dataValidation allowBlank="1" showInputMessage="1" showErrorMessage="1" promptTitle="RDIMS References" prompt="Include the RDIMS number for all emails sent" sqref="Q2" xr:uid="{00000000-0002-0000-0100-00000D000000}"/>
  </dataValidations>
  <pageMargins left="0.7" right="0.7" top="0.75" bottom="0.75" header="0.3" footer="0.3"/>
  <pageSetup orientation="portrait" r:id="rId1"/>
  <extLst>
    <ext xmlns:x14="http://schemas.microsoft.com/office/spreadsheetml/2009/9/main" uri="{CCE6A557-97BC-4b89-ADB6-D9C93CAAB3DF}">
      <x14:dataValidations xmlns:xm="http://schemas.microsoft.com/office/excel/2006/main" count="4">
        <x14:dataValidation type="list" allowBlank="1" showInputMessage="1" showErrorMessage="1" xr:uid="{00000000-0002-0000-0100-00000E000000}">
          <x14:formula1>
            <xm:f>References!$A$2:$A$8</xm:f>
          </x14:formula1>
          <xm:sqref>D3:D1048576</xm:sqref>
        </x14:dataValidation>
        <x14:dataValidation type="list" allowBlank="1" showInputMessage="1" showErrorMessage="1" xr:uid="{00000000-0002-0000-0100-00000F000000}">
          <x14:formula1>
            <xm:f>References!$G$2:$G$7</xm:f>
          </x14:formula1>
          <xm:sqref>G3:G1048576</xm:sqref>
        </x14:dataValidation>
        <x14:dataValidation type="list" allowBlank="1" showInputMessage="1" showErrorMessage="1" xr:uid="{00000000-0002-0000-0100-000010000000}">
          <x14:formula1>
            <xm:f>References!$C$2:$C$6</xm:f>
          </x14:formula1>
          <xm:sqref>L1 L3:L1048576</xm:sqref>
        </x14:dataValidation>
        <x14:dataValidation type="list" allowBlank="1" showInputMessage="1" showErrorMessage="1" xr:uid="{00000000-0002-0000-0100-000011000000}">
          <x14:formula1>
            <xm:f>References!$E$2:$E$9</xm:f>
          </x14:formula1>
          <xm:sqref>M1 M3:M1048576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2"/>
  <dimension ref="A1:G24"/>
  <sheetViews>
    <sheetView workbookViewId="0">
      <selection activeCell="E25" sqref="E25"/>
    </sheetView>
  </sheetViews>
  <sheetFormatPr defaultRowHeight="15" x14ac:dyDescent="0.25"/>
  <cols>
    <col min="1" max="1" width="10.5703125" bestFit="1" customWidth="1"/>
    <col min="3" max="3" width="16.7109375" bestFit="1" customWidth="1"/>
    <col min="5" max="6" width="21.140625" customWidth="1"/>
  </cols>
  <sheetData>
    <row r="1" spans="1:7" x14ac:dyDescent="0.25">
      <c r="A1" s="1" t="s">
        <v>12</v>
      </c>
      <c r="C1" s="1" t="s">
        <v>20</v>
      </c>
      <c r="E1" s="1" t="s">
        <v>13</v>
      </c>
      <c r="G1" s="1" t="s">
        <v>21</v>
      </c>
    </row>
    <row r="2" spans="1:7" x14ac:dyDescent="0.25">
      <c r="A2" t="s">
        <v>14</v>
      </c>
      <c r="C2" t="s">
        <v>19</v>
      </c>
      <c r="E2" s="2" t="s">
        <v>27</v>
      </c>
      <c r="G2" t="s">
        <v>24</v>
      </c>
    </row>
    <row r="3" spans="1:7" x14ac:dyDescent="0.25">
      <c r="A3" t="s">
        <v>4</v>
      </c>
      <c r="C3" t="s">
        <v>10</v>
      </c>
      <c r="E3" t="s">
        <v>186</v>
      </c>
      <c r="G3" t="s">
        <v>22</v>
      </c>
    </row>
    <row r="4" spans="1:7" x14ac:dyDescent="0.25">
      <c r="A4" t="s">
        <v>5</v>
      </c>
      <c r="C4" t="s">
        <v>18</v>
      </c>
      <c r="E4" s="4" t="s">
        <v>15</v>
      </c>
      <c r="G4" t="s">
        <v>23</v>
      </c>
    </row>
    <row r="5" spans="1:7" x14ac:dyDescent="0.25">
      <c r="A5" t="s">
        <v>6</v>
      </c>
      <c r="C5" t="s">
        <v>17</v>
      </c>
      <c r="E5" s="3" t="s">
        <v>16</v>
      </c>
      <c r="G5" t="s">
        <v>205</v>
      </c>
    </row>
    <row r="6" spans="1:7" x14ac:dyDescent="0.25">
      <c r="A6" t="s">
        <v>7</v>
      </c>
      <c r="C6" t="s">
        <v>210</v>
      </c>
      <c r="E6" t="s">
        <v>211</v>
      </c>
      <c r="G6" t="s">
        <v>985</v>
      </c>
    </row>
    <row r="7" spans="1:7" x14ac:dyDescent="0.25">
      <c r="A7" t="s">
        <v>8</v>
      </c>
      <c r="E7" t="s">
        <v>212</v>
      </c>
      <c r="G7" t="s">
        <v>26</v>
      </c>
    </row>
    <row r="8" spans="1:7" x14ac:dyDescent="0.25">
      <c r="A8" t="s">
        <v>9</v>
      </c>
      <c r="E8" t="s">
        <v>213</v>
      </c>
    </row>
    <row r="9" spans="1:7" x14ac:dyDescent="0.25">
      <c r="E9" t="s">
        <v>214</v>
      </c>
    </row>
    <row r="11" spans="1:7" x14ac:dyDescent="0.25">
      <c r="A11" s="1" t="s">
        <v>157</v>
      </c>
      <c r="B11" s="1" t="s">
        <v>28</v>
      </c>
      <c r="C11" s="1" t="s">
        <v>10</v>
      </c>
      <c r="D11" s="1" t="s">
        <v>29</v>
      </c>
      <c r="E11" s="1" t="s">
        <v>158</v>
      </c>
      <c r="F11" s="1"/>
    </row>
    <row r="12" spans="1:7" x14ac:dyDescent="0.25">
      <c r="A12" t="s">
        <v>36</v>
      </c>
      <c r="B12" t="s">
        <v>159</v>
      </c>
      <c r="C12" t="s">
        <v>4</v>
      </c>
      <c r="D12" t="s">
        <v>160</v>
      </c>
      <c r="E12" t="s">
        <v>161</v>
      </c>
    </row>
    <row r="13" spans="1:7" x14ac:dyDescent="0.25">
      <c r="A13" t="s">
        <v>162</v>
      </c>
      <c r="B13" t="s">
        <v>37</v>
      </c>
      <c r="C13" t="s">
        <v>5</v>
      </c>
      <c r="D13" t="s">
        <v>163</v>
      </c>
      <c r="E13" t="s">
        <v>164</v>
      </c>
    </row>
    <row r="14" spans="1:7" x14ac:dyDescent="0.25">
      <c r="A14" t="s">
        <v>165</v>
      </c>
      <c r="B14" t="s">
        <v>166</v>
      </c>
      <c r="C14" t="s">
        <v>6</v>
      </c>
      <c r="D14" t="s">
        <v>167</v>
      </c>
      <c r="E14" t="s">
        <v>38</v>
      </c>
    </row>
    <row r="15" spans="1:7" x14ac:dyDescent="0.25">
      <c r="A15" t="s">
        <v>168</v>
      </c>
      <c r="B15" t="s">
        <v>169</v>
      </c>
      <c r="C15" t="s">
        <v>7</v>
      </c>
      <c r="D15" t="s">
        <v>170</v>
      </c>
      <c r="E15" t="s">
        <v>171</v>
      </c>
    </row>
    <row r="16" spans="1:7" x14ac:dyDescent="0.25">
      <c r="A16" t="s">
        <v>172</v>
      </c>
      <c r="C16" t="s">
        <v>8</v>
      </c>
      <c r="D16" t="s">
        <v>173</v>
      </c>
      <c r="E16" t="s">
        <v>174</v>
      </c>
    </row>
    <row r="17" spans="1:5" x14ac:dyDescent="0.25">
      <c r="A17" t="s">
        <v>175</v>
      </c>
      <c r="C17" t="s">
        <v>14</v>
      </c>
      <c r="D17" t="s">
        <v>176</v>
      </c>
      <c r="E17" t="s">
        <v>202</v>
      </c>
    </row>
    <row r="18" spans="1:5" x14ac:dyDescent="0.25">
      <c r="A18" t="s">
        <v>177</v>
      </c>
      <c r="D18" t="s">
        <v>178</v>
      </c>
      <c r="E18" t="s">
        <v>203</v>
      </c>
    </row>
    <row r="19" spans="1:5" x14ac:dyDescent="0.25">
      <c r="A19" t="s">
        <v>179</v>
      </c>
      <c r="D19" t="s">
        <v>180</v>
      </c>
      <c r="E19" t="s">
        <v>1157</v>
      </c>
    </row>
    <row r="20" spans="1:5" x14ac:dyDescent="0.25">
      <c r="D20" t="s">
        <v>6</v>
      </c>
      <c r="E20" t="s">
        <v>1171</v>
      </c>
    </row>
    <row r="21" spans="1:5" x14ac:dyDescent="0.25">
      <c r="D21" t="s">
        <v>181</v>
      </c>
      <c r="E21" t="s">
        <v>1177</v>
      </c>
    </row>
    <row r="22" spans="1:5" x14ac:dyDescent="0.25">
      <c r="D22" t="s">
        <v>5</v>
      </c>
    </row>
    <row r="23" spans="1:5" x14ac:dyDescent="0.25">
      <c r="D23" t="s">
        <v>182</v>
      </c>
    </row>
    <row r="24" spans="1:5" x14ac:dyDescent="0.25">
      <c r="D24" t="s">
        <v>183</v>
      </c>
    </row>
  </sheetData>
  <sortState xmlns:xlrd2="http://schemas.microsoft.com/office/spreadsheetml/2017/richdata2" ref="G2:G6">
    <sortCondition ref="G2"/>
  </sortState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</vt:i4>
      </vt:variant>
    </vt:vector>
  </HeadingPairs>
  <TitlesOfParts>
    <vt:vector size="4" baseType="lpstr">
      <vt:lpstr>Enforcement-Safety Tools</vt:lpstr>
      <vt:lpstr>Questions</vt:lpstr>
      <vt:lpstr>References</vt:lpstr>
      <vt:lpstr>Questions!_MailEndCompose</vt:lpstr>
    </vt:vector>
  </TitlesOfParts>
  <Company>Transport Canada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Valade, Stéphanie</dc:creator>
  <cp:lastModifiedBy>Aaron</cp:lastModifiedBy>
  <dcterms:created xsi:type="dcterms:W3CDTF">2019-05-01T15:27:38Z</dcterms:created>
  <dcterms:modified xsi:type="dcterms:W3CDTF">2021-07-06T18:56:39Z</dcterms:modified>
</cp:coreProperties>
</file>